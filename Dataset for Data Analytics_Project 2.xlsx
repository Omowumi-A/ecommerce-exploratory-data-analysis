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DecodesLab Internship\"/>
    </mc:Choice>
  </mc:AlternateContent>
  <xr:revisionPtr revIDLastSave="0" documentId="13_ncr:1_{669231F2-3BC4-4219-B9B1-99C782309C5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Clean_data" sheetId="1" r:id="rId1"/>
    <sheet name="Descriptive_Stat" sheetId="3" r:id="rId2"/>
    <sheet name="Outliner_check" sheetId="7" r:id="rId3"/>
    <sheet name="Correlation" sheetId="8" r:id="rId4"/>
    <sheet name="Pivot" sheetId="9" r:id="rId5"/>
    <sheet name="Working_Data" sheetId="2" r:id="rId6"/>
  </sheets>
  <calcPr calcId="181029"/>
  <pivotCaches>
    <pivotCache cacheId="0" r:id="rId7"/>
  </pivotCaches>
</workbook>
</file>

<file path=xl/calcChain.xml><?xml version="1.0" encoding="utf-8"?>
<calcChain xmlns="http://schemas.openxmlformats.org/spreadsheetml/2006/main">
  <c r="M4" i="7" l="1"/>
  <c r="M3" i="7"/>
  <c r="H4" i="7"/>
  <c r="H3" i="7"/>
  <c r="C4" i="7"/>
  <c r="C3" i="7"/>
  <c r="M5" i="7" l="1"/>
  <c r="M6" i="7" s="1"/>
  <c r="H5" i="7"/>
  <c r="H6" i="7" s="1"/>
  <c r="C5" i="7"/>
  <c r="C6" i="7" s="1"/>
  <c r="M8" i="7" l="1"/>
  <c r="M7" i="7"/>
  <c r="C7" i="7"/>
  <c r="C8" i="7" s="1"/>
  <c r="H7" i="7"/>
  <c r="H8" i="7" s="1"/>
</calcChain>
</file>

<file path=xl/sharedStrings.xml><?xml version="1.0" encoding="utf-8"?>
<sst xmlns="http://schemas.openxmlformats.org/spreadsheetml/2006/main" count="21780" uniqueCount="4318">
  <si>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</si>
  <si>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</si>
  <si>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</si>
  <si>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</si>
  <si>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</si>
  <si>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</si>
  <si>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</si>
  <si>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</si>
  <si>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</si>
  <si>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</si>
  <si>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</si>
  <si>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</si>
  <si>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</si>
  <si>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</si>
  <si>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</si>
  <si>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</si>
  <si>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</si>
  <si>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</si>
  <si>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</si>
  <si>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</si>
  <si>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</si>
  <si>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</si>
  <si>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</si>
  <si>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</si>
  <si>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</si>
  <si>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</si>
  <si>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</si>
  <si>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</si>
  <si>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</si>
  <si>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</si>
  <si>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</si>
  <si>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</si>
  <si>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</si>
  <si>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</si>
  <si>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</si>
  <si>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</si>
  <si>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</si>
  <si>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</si>
  <si>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</si>
  <si>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</si>
  <si>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</si>
  <si>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</si>
  <si>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</si>
  <si>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</si>
  <si>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</si>
  <si>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</si>
  <si>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</si>
  <si>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</si>
  <si>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</si>
  <si>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</si>
  <si>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</si>
  <si>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</si>
  <si>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</si>
  <si>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</si>
  <si>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</si>
  <si>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</si>
  <si>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</si>
  <si>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</si>
  <si>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</si>
  <si>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</si>
  <si>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</si>
  <si>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</si>
  <si>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</si>
  <si>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</si>
  <si>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</si>
  <si>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</si>
  <si>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</si>
  <si>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</si>
  <si>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</si>
  <si>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</si>
  <si>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</si>
  <si>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</si>
  <si>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</si>
  <si>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</si>
  <si>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</si>
  <si>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</si>
  <si>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</si>
  <si>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</si>
  <si>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</si>
  <si>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</si>
  <si>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</si>
  <si>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</si>
  <si>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</si>
  <si>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</si>
  <si>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</si>
  <si>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</si>
  <si>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</si>
  <si>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</si>
  <si>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</si>
  <si>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</si>
  <si>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</si>
  <si>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</si>
  <si>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</si>
  <si>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</si>
  <si>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</si>
  <si>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</si>
  <si>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</si>
  <si>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</si>
  <si>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</si>
  <si>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</si>
  <si>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</si>
  <si>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</si>
  <si>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</si>
  <si>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</si>
  <si>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</si>
  <si>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</si>
  <si>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</si>
  <si>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</si>
  <si>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</si>
  <si>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</si>
  <si>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</si>
  <si>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</si>
  <si>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</si>
  <si>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</si>
  <si>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</si>
  <si>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</si>
  <si>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</si>
  <si>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</si>
  <si>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</si>
  <si>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</si>
  <si>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</si>
  <si>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</si>
  <si>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</si>
  <si>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</si>
  <si>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</si>
  <si>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</si>
  <si>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</si>
  <si>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</si>
  <si>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</si>
  <si>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</si>
  <si>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</si>
  <si>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</si>
  <si>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</si>
  <si>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</si>
  <si>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</si>
  <si>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</si>
  <si>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</si>
  <si>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</si>
  <si>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</si>
  <si>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</si>
  <si>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</si>
  <si>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</si>
  <si>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</si>
  <si>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</si>
  <si>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</si>
  <si>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</si>
  <si>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</si>
  <si>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</si>
  <si>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</si>
  <si>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</si>
  <si>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</si>
  <si>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</si>
  <si>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</si>
  <si>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</si>
  <si>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</si>
  <si>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</si>
  <si>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</si>
  <si>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</si>
  <si>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</si>
  <si>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</si>
  <si>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</si>
  <si>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</si>
  <si>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</si>
  <si>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</si>
  <si>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</si>
  <si>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</si>
  <si>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</si>
  <si>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</si>
  <si>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</si>
  <si>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</si>
  <si>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</si>
  <si>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</si>
  <si>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</si>
  <si>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</si>
  <si>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</si>
  <si>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</si>
  <si>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</si>
  <si>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</si>
  <si>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</si>
  <si>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</si>
  <si>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</si>
  <si>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</si>
  <si>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</si>
  <si>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</si>
  <si>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</si>
  <si>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</si>
  <si>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</si>
  <si>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</si>
  <si>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</si>
  <si>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</si>
  <si>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</si>
  <si>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</si>
  <si>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</si>
  <si>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</si>
  <si>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</si>
  <si>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</si>
  <si>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</si>
  <si>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</si>
  <si>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</si>
  <si>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</si>
  <si>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</si>
  <si>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</si>
  <si>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</si>
  <si>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</si>
  <si>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</si>
  <si>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</si>
  <si>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</si>
  <si>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</si>
  <si>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</si>
  <si>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</si>
  <si>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</si>
  <si>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</si>
  <si>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</si>
  <si>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</si>
  <si>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</si>
  <si>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</si>
  <si>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</si>
  <si>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</si>
  <si>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</si>
  <si>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</si>
  <si>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</si>
  <si>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</si>
  <si>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</si>
  <si>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</si>
  <si>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</si>
  <si>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</si>
  <si>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</si>
  <si>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</si>
  <si>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</si>
  <si>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</si>
  <si>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</si>
  <si>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</si>
  <si>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</si>
  <si>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</si>
  <si>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</si>
  <si>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</si>
  <si>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</si>
  <si>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</si>
  <si>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</si>
  <si>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</si>
  <si>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</si>
  <si>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</si>
  <si>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</si>
  <si>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</si>
  <si>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</si>
  <si>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</si>
  <si>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</si>
  <si>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</si>
  <si>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</si>
  <si>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</si>
  <si>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</si>
  <si>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</si>
  <si>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</si>
  <si>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</si>
  <si>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</si>
  <si>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</si>
  <si>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</si>
  <si>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</si>
  <si>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</si>
  <si>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</si>
  <si>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</si>
  <si>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</si>
  <si>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</si>
  <si>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</si>
  <si>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</si>
  <si>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</si>
  <si>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</si>
  <si>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</si>
  <si>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</si>
  <si>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</si>
  <si>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</si>
  <si>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</si>
  <si>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</si>
  <si>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</si>
  <si>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</si>
  <si>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</si>
  <si>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</si>
  <si>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</si>
  <si>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</si>
  <si>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</si>
  <si>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</si>
  <si>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</si>
  <si>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</si>
  <si>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</si>
  <si>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</si>
  <si>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</si>
  <si>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</si>
  <si>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</si>
  <si>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</si>
  <si>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</si>
  <si>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</si>
  <si>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</si>
  <si>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</si>
  <si>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</si>
  <si>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</si>
  <si>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</si>
  <si>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</si>
  <si>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</si>
  <si>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</si>
  <si>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</si>
  <si>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</si>
  <si>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</si>
  <si>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</si>
  <si>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</si>
  <si>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</si>
  <si>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</si>
  <si>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</si>
  <si>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</si>
  <si>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</si>
  <si>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</si>
  <si>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</si>
  <si>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</si>
  <si>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</si>
  <si>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</si>
  <si>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</si>
  <si>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</si>
  <si>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</si>
  <si>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</si>
  <si>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</si>
  <si>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</si>
  <si>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</si>
  <si>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</si>
  <si>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</si>
  <si>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</si>
  <si>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</si>
  <si>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</si>
  <si>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</si>
  <si>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</si>
  <si>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</si>
  <si>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</si>
  <si>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</si>
  <si>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</si>
  <si>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</si>
  <si>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</si>
  <si>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</si>
  <si>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</si>
  <si>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</si>
  <si>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</si>
  <si>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</si>
  <si>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</si>
  <si>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</si>
  <si>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</si>
  <si>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</si>
  <si>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</si>
  <si>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</si>
  <si>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</si>
  <si>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</si>
  <si>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</si>
  <si>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</si>
  <si>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</si>
  <si>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</si>
  <si>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</si>
  <si>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</si>
  <si>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</si>
  <si>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</si>
  <si>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</si>
  <si>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</si>
  <si>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</si>
  <si>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</si>
  <si>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</si>
  <si>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</si>
  <si>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</si>
  <si>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</si>
  <si>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</si>
  <si>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</si>
  <si>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</si>
  <si>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</si>
  <si>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</si>
  <si>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</si>
  <si>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</si>
  <si>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</si>
  <si>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</si>
  <si>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</si>
  <si>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</si>
  <si>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</si>
  <si>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</si>
  <si>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</si>
  <si>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</si>
  <si>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</si>
  <si>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</si>
  <si>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</si>
  <si>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</si>
  <si>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</si>
  <si>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</si>
  <si>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</si>
  <si>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</si>
  <si>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</si>
  <si>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</si>
  <si>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</si>
  <si>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</si>
  <si>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</si>
  <si>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</si>
  <si>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</si>
  <si>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</si>
  <si>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</si>
  <si>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</si>
  <si>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</si>
  <si>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</si>
  <si>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</si>
  <si>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</si>
  <si>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</si>
  <si>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</si>
  <si>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</si>
  <si>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</si>
  <si>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</si>
  <si>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</si>
  <si>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</si>
  <si>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</si>
  <si>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</si>
  <si>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</si>
  <si>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</si>
  <si>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</si>
  <si>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</si>
  <si>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</si>
  <si>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</si>
  <si>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</si>
  <si>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</si>
  <si>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</si>
  <si>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</si>
  <si>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</si>
  <si>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</si>
  <si>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</si>
  <si>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</si>
  <si>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</si>
  <si>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</si>
  <si>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</si>
  <si>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</si>
  <si>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</si>
  <si>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</si>
  <si>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</si>
  <si>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</si>
  <si>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</si>
  <si>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</si>
  <si>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</si>
  <si>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</si>
  <si>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</si>
  <si>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</si>
  <si>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</si>
  <si>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</si>
  <si>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</si>
  <si>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</si>
  <si>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</si>
  <si>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</si>
  <si>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</si>
  <si>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</si>
  <si>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</si>
  <si>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</si>
  <si>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</si>
  <si>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</si>
  <si>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</si>
  <si>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</si>
  <si>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</si>
  <si>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</si>
  <si>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</si>
  <si>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</si>
  <si>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</si>
  <si>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</si>
  <si>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</si>
  <si>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</si>
  <si>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</si>
  <si>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</si>
  <si>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</si>
  <si>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</si>
  <si>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</si>
  <si>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</si>
  <si>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</si>
  <si>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</si>
  <si>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</si>
  <si>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</si>
  <si>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</si>
  <si>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</si>
  <si>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</si>
  <si>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</si>
  <si>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</si>
  <si>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</si>
  <si>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</si>
  <si>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</si>
  <si>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</si>
  <si>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</si>
  <si>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</si>
  <si>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</si>
  <si>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</si>
  <si>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</si>
  <si>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</si>
  <si>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</si>
  <si>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</si>
  <si>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</si>
  <si>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</si>
  <si>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</si>
  <si>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</si>
  <si>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</si>
  <si>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</si>
  <si>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</si>
  <si>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</si>
  <si>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</si>
  <si>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</si>
  <si>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</si>
  <si>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</si>
  <si>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</si>
  <si>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</si>
  <si>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</si>
  <si>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</si>
  <si>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</si>
  <si>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</si>
  <si>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</si>
  <si>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</si>
  <si>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</si>
  <si>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</si>
  <si>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</si>
  <si>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</si>
  <si>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</si>
  <si>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</si>
  <si>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</si>
  <si>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</si>
  <si>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</si>
  <si>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</si>
  <si>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</si>
  <si>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</si>
  <si>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</si>
  <si>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</si>
  <si>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</si>
  <si>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</si>
  <si>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</si>
  <si>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</si>
  <si>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</si>
  <si>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</si>
  <si>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</si>
  <si>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</si>
  <si>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</si>
  <si>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</si>
  <si>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</si>
  <si>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</si>
  <si>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</si>
  <si>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</si>
  <si>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</si>
  <si>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</si>
  <si>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</si>
  <si>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</si>
  <si>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</si>
  <si>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</si>
  <si>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</si>
  <si>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</si>
  <si>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</si>
  <si>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</si>
  <si>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</si>
  <si>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</si>
  <si>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</si>
  <si>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</si>
  <si>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</si>
  <si>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</si>
  <si>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</si>
  <si>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</si>
  <si>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</si>
  <si>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</si>
  <si>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</si>
  <si>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</si>
  <si>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</si>
  <si>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</si>
  <si>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</si>
  <si>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</si>
  <si>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</si>
  <si>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</si>
  <si>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</si>
  <si>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</si>
  <si>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</si>
  <si>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</si>
  <si>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</si>
  <si>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</si>
  <si>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</si>
  <si>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</si>
  <si>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</si>
  <si>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</si>
  <si>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</si>
  <si>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</si>
  <si>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</si>
  <si>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</si>
  <si>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</si>
  <si>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</si>
  <si>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</si>
  <si>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</si>
  <si>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</si>
  <si>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</si>
  <si>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</si>
  <si>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</si>
  <si>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</si>
  <si>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</si>
  <si>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</si>
  <si>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</si>
  <si>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</si>
  <si>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</si>
  <si>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</si>
  <si>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</si>
  <si>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</si>
  <si>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</si>
  <si>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</si>
  <si>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</si>
  <si>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</si>
  <si>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</si>
  <si>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</si>
  <si>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</si>
  <si>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</si>
  <si>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</si>
  <si>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</si>
  <si>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</si>
  <si>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</si>
  <si>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</si>
  <si>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</si>
  <si>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</si>
  <si>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</si>
  <si>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</si>
  <si>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</si>
  <si>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</si>
  <si>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</si>
  <si>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</si>
  <si>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</si>
  <si>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</si>
  <si>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</si>
  <si>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</si>
  <si>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</si>
  <si>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</si>
  <si>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</si>
  <si>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</si>
  <si>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</si>
  <si>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</si>
  <si>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</si>
  <si>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</si>
  <si>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</si>
  <si>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</si>
  <si>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</si>
  <si>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</si>
  <si>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</si>
  <si>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</si>
  <si>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</si>
  <si>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</si>
  <si>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</si>
  <si>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</si>
  <si>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</si>
  <si>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</si>
  <si>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</si>
  <si>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</si>
  <si>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</si>
  <si>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</si>
  <si>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</si>
  <si>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</si>
  <si>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</si>
  <si>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</si>
  <si>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</si>
  <si>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</si>
  <si>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</si>
  <si>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</si>
  <si>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</si>
  <si>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</si>
  <si>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</si>
  <si>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</si>
  <si>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</si>
  <si>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</si>
  <si>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</si>
  <si>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</si>
  <si>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</si>
  <si>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</si>
  <si>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</si>
  <si>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</si>
  <si>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</si>
  <si>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</si>
  <si>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</si>
  <si>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</si>
  <si>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</si>
  <si>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</si>
  <si>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</si>
  <si>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</si>
  <si>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</si>
  <si>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</si>
  <si>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</si>
  <si>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</si>
  <si>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</si>
  <si>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</si>
  <si>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</si>
  <si>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</si>
  <si>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</si>
  <si>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</si>
  <si>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</si>
  <si>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</si>
  <si>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</si>
  <si>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</si>
  <si>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</si>
  <si>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</si>
  <si>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</si>
  <si>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</si>
  <si>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</si>
  <si>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</si>
  <si>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</si>
  <si>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</si>
  <si>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</si>
  <si>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</si>
  <si>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</si>
  <si>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</si>
  <si>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</si>
  <si>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</si>
  <si>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</si>
  <si>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</si>
  <si>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</si>
  <si>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</si>
  <si>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</si>
  <si>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</si>
  <si>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</si>
  <si>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</si>
  <si>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</si>
  <si>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</si>
  <si>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</si>
  <si>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</si>
  <si>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</si>
  <si>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</si>
  <si>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</si>
  <si>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</si>
  <si>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</si>
  <si>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</si>
  <si>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</si>
  <si>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</si>
  <si>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</si>
  <si>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</si>
  <si>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</si>
  <si>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</si>
  <si>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</si>
  <si>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</si>
  <si>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</si>
  <si>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</si>
  <si>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</si>
  <si>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</si>
  <si>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</si>
  <si>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</si>
  <si>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</si>
  <si>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</si>
  <si>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</si>
  <si>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</si>
  <si>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</si>
  <si>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</si>
  <si>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</si>
  <si>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</si>
  <si>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</si>
  <si>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</si>
  <si>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</si>
  <si>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</si>
  <si>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</si>
  <si>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</si>
  <si>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</si>
  <si>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</si>
  <si>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</si>
  <si>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</si>
  <si>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</si>
  <si>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</si>
  <si>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</si>
  <si>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</si>
  <si>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</si>
  <si>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</si>
  <si>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</si>
  <si>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</si>
  <si>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</si>
  <si>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</si>
  <si>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</si>
  <si>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</si>
  <si>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</si>
  <si>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</si>
  <si>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</si>
  <si>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</si>
  <si>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</si>
  <si>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</si>
  <si>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</si>
  <si>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</si>
  <si>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</si>
  <si>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</si>
  <si>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</si>
  <si>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</si>
  <si>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</si>
  <si>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</si>
  <si>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</si>
  <si>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</si>
  <si>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</si>
  <si>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</si>
  <si>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</si>
  <si>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</si>
  <si>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</si>
  <si>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</si>
  <si>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</si>
  <si>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</si>
  <si>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</si>
  <si>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</si>
  <si>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</si>
  <si>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</si>
  <si>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</si>
  <si>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</si>
  <si>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</si>
  <si>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</si>
  <si>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</si>
  <si>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</si>
  <si>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</si>
  <si>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</si>
  <si>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</si>
  <si>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</si>
  <si>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</si>
  <si>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</si>
  <si>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</si>
  <si>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</si>
  <si>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</si>
  <si>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</si>
  <si>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</si>
  <si>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</si>
  <si>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</si>
  <si>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</si>
  <si>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</si>
  <si>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</si>
  <si>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</si>
  <si>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</si>
  <si>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</si>
  <si>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</si>
  <si>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</si>
  <si>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</si>
  <si>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</si>
  <si>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</si>
  <si>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</si>
  <si>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</si>
  <si>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</si>
  <si>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</si>
  <si>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</si>
  <si>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</si>
  <si>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</si>
  <si>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</si>
  <si>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</si>
  <si>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</si>
  <si>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</si>
  <si>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</si>
  <si>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</si>
  <si>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</si>
  <si>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</si>
  <si>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</si>
  <si>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</si>
  <si>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</si>
  <si>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</si>
  <si>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</si>
  <si>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</si>
  <si>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</si>
  <si>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</si>
  <si>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</si>
  <si>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</si>
  <si>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</si>
  <si>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</si>
  <si>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</si>
  <si>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</si>
  <si>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</si>
  <si>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</si>
  <si>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</si>
  <si>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</si>
  <si>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</si>
  <si>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</si>
  <si>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</si>
  <si>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</si>
  <si>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</si>
  <si>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</si>
  <si>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</si>
  <si>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</si>
  <si>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</si>
  <si>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</si>
  <si>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</si>
  <si>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</si>
  <si>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</si>
  <si>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</si>
  <si>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</si>
  <si>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</si>
  <si>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</si>
  <si>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</si>
  <si>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</si>
  <si>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</si>
  <si>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</si>
  <si>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</si>
  <si>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</si>
  <si>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</si>
  <si>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</si>
  <si>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</si>
  <si>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</si>
  <si>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</si>
  <si>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</si>
  <si>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</si>
  <si>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</si>
  <si>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</si>
  <si>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</si>
  <si>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</si>
  <si>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</si>
  <si>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</si>
  <si>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</si>
  <si>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</si>
  <si>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</si>
  <si>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</si>
  <si>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</si>
  <si>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</si>
  <si>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</si>
  <si>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</si>
  <si>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</si>
  <si>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</si>
  <si>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</si>
  <si>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</si>
  <si>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</si>
  <si>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</si>
  <si>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</si>
  <si>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</si>
  <si>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</si>
  <si>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</si>
  <si>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</si>
  <si>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</si>
  <si>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</si>
  <si>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</si>
  <si>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</si>
  <si>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</si>
  <si>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</si>
  <si>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</si>
  <si>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</si>
  <si>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</si>
  <si>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</si>
  <si>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</si>
  <si>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</si>
  <si>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</si>
  <si>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</si>
  <si>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</si>
  <si>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</si>
  <si>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</si>
  <si>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</si>
  <si>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</si>
  <si>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</si>
  <si>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</si>
  <si>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</si>
  <si>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</si>
  <si>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</si>
  <si>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</si>
  <si>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</si>
  <si>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</si>
  <si>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</si>
  <si>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</si>
  <si>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</si>
  <si>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</si>
  <si>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</si>
  <si>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</si>
  <si>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</si>
  <si>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</si>
  <si>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</si>
  <si>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</si>
  <si>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</si>
  <si>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</si>
  <si>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</si>
  <si>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</si>
  <si>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</si>
  <si>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</si>
  <si>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</si>
  <si>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</si>
  <si>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</si>
  <si>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</si>
  <si>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</si>
  <si>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</si>
  <si>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</si>
  <si>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</si>
  <si>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</si>
  <si>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</si>
  <si>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</si>
  <si>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</si>
  <si>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</si>
  <si>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</si>
  <si>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</si>
  <si>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</si>
  <si>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</si>
  <si>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</si>
  <si>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</si>
  <si>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</si>
  <si>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</si>
  <si>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</si>
  <si>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</si>
  <si>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</si>
  <si>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</si>
  <si>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</si>
  <si>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</si>
  <si>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</si>
  <si>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</si>
  <si>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</si>
  <si>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</si>
  <si>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</si>
  <si>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</si>
  <si>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</si>
  <si>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</si>
  <si>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</si>
  <si>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</si>
  <si>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</si>
  <si>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</si>
  <si>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</si>
  <si>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</si>
  <si>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</si>
  <si>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</si>
  <si>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</si>
  <si>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</si>
  <si>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</si>
  <si>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</si>
  <si>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</si>
  <si>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</si>
  <si>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</si>
  <si>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</si>
  <si>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</si>
  <si>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</si>
  <si>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</si>
  <si>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</si>
  <si>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</si>
  <si>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</si>
  <si>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</si>
  <si>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</si>
  <si>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</si>
  <si>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</si>
  <si>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</si>
  <si>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</si>
  <si>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</si>
  <si>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</si>
  <si>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</si>
  <si>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</si>
  <si>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</si>
  <si>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</si>
  <si>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</si>
  <si>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</si>
  <si>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</si>
  <si>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</si>
  <si>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</si>
  <si>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</si>
  <si>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</si>
  <si>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</si>
  <si>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</si>
  <si>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</si>
  <si>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</si>
  <si>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</si>
  <si>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</si>
  <si>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</si>
  <si>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</si>
  <si>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</si>
  <si>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</si>
  <si>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</si>
  <si>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</si>
  <si>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</si>
  <si>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</si>
  <si>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</si>
  <si>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</si>
  <si>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</si>
  <si>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</si>
  <si>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</si>
  <si>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</si>
  <si>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</si>
  <si>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</si>
  <si>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</si>
  <si>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</si>
  <si>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</si>
  <si>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</si>
  <si>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</si>
  <si>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</si>
  <si>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</si>
  <si>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</si>
  <si>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</si>
  <si>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</si>
  <si>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</si>
  <si>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</si>
  <si>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</si>
  <si>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</si>
  <si>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</si>
  <si>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</si>
  <si>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</si>
  <si>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</si>
  <si>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</si>
  <si>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</si>
  <si>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</si>
  <si>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</si>
  <si>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</si>
  <si>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</si>
  <si>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</si>
  <si>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</si>
  <si>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</si>
  <si>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</si>
  <si>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</si>
  <si>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</si>
  <si>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</si>
  <si>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</si>
  <si>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</si>
  <si>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</si>
  <si>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</si>
  <si>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</si>
  <si>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</si>
  <si>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</si>
  <si>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</si>
  <si>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</si>
  <si>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</si>
  <si>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</si>
  <si>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</si>
  <si>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</si>
  <si>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</si>
  <si>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</si>
  <si>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</si>
  <si>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</si>
  <si>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</si>
  <si>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</si>
  <si>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</si>
  <si>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</si>
  <si>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</si>
  <si>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</si>
  <si>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</si>
  <si>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</si>
  <si>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</si>
  <si>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</si>
  <si>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</si>
  <si>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</si>
  <si>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</si>
  <si>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</si>
  <si>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</si>
  <si>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</si>
  <si>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</si>
  <si>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</si>
  <si>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</si>
  <si>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</si>
  <si>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</si>
  <si>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</si>
  <si>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</si>
  <si>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</si>
  <si>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</si>
  <si>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</si>
  <si>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</si>
  <si>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</si>
  <si>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</si>
  <si>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</si>
  <si>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</si>
  <si>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</si>
  <si>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</si>
  <si>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</si>
  <si>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</si>
  <si>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</si>
  <si>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</si>
  <si>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</si>
  <si>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</si>
  <si>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</si>
  <si>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</si>
  <si>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</si>
  <si>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</si>
  <si>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</si>
  <si>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</si>
  <si>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</si>
  <si>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</si>
  <si>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</si>
  <si>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</si>
  <si>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</si>
  <si>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</si>
  <si>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</si>
  <si>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</si>
  <si>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</si>
  <si>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</si>
  <si>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</si>
  <si>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</si>
  <si>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</si>
  <si>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</si>
  <si>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</si>
  <si>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</si>
  <si>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</si>
  <si>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</si>
  <si>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</si>
  <si>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</si>
  <si>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</si>
  <si>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</si>
  <si>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</si>
  <si>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</si>
  <si>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</si>
  <si>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</si>
  <si>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</si>
  <si>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</si>
  <si>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</si>
  <si>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</si>
  <si>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</si>
  <si>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</si>
  <si>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</si>
  <si>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</si>
  <si>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</si>
  <si>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</si>
  <si>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</si>
  <si>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</si>
  <si>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</si>
  <si>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</si>
  <si>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</si>
  <si>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</si>
  <si>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</si>
  <si>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</si>
  <si>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</si>
  <si>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</si>
  <si>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</si>
  <si>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</si>
  <si>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</si>
  <si>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</si>
  <si>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</si>
  <si>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</si>
  <si>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</si>
  <si>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</si>
  <si>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</si>
  <si>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</si>
  <si>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</si>
  <si>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</si>
  <si>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</si>
  <si>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</si>
  <si>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</si>
  <si>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</si>
  <si>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</si>
  <si>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</si>
  <si>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</si>
  <si>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</si>
  <si>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</si>
  <si>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</si>
  <si>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</si>
  <si>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</si>
  <si>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</si>
  <si>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</si>
  <si>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</si>
  <si>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</si>
  <si>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</si>
  <si>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</si>
  <si>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</si>
  <si>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</si>
  <si>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</si>
  <si>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</si>
  <si>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</si>
  <si>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</si>
  <si>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</si>
  <si>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</si>
  <si>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</si>
  <si>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</si>
  <si>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</si>
  <si>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</si>
  <si>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</si>
  <si>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</si>
  <si>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</si>
  <si>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</si>
  <si>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</si>
  <si>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</si>
  <si>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</si>
  <si>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</si>
  <si>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</si>
  <si>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</si>
  <si>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</si>
  <si>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</si>
  <si>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</si>
  <si>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</si>
  <si>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</si>
  <si>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</si>
  <si>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</si>
  <si>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</si>
  <si>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</si>
  <si>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</si>
  <si>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</si>
  <si>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</si>
  <si>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</si>
  <si>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</si>
  <si>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</si>
  <si>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</si>
  <si>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</si>
  <si>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</si>
  <si>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</si>
  <si>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</si>
  <si>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</si>
  <si>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</si>
  <si>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</si>
  <si>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</si>
  <si>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</si>
  <si>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</si>
  <si>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</si>
  <si>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</si>
  <si>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</si>
  <si>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</si>
  <si>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</si>
  <si>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</si>
  <si>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</si>
  <si>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</si>
  <si>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</si>
  <si>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</si>
  <si>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</si>
  <si>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</si>
  <si>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</si>
  <si>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</si>
  <si>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</si>
  <si>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</si>
  <si>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</si>
  <si>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</si>
  <si>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</si>
  <si>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</si>
  <si>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</si>
  <si>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</si>
  <si>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</si>
  <si>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</si>
  <si>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</si>
  <si>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</si>
  <si>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</si>
  <si>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</si>
  <si>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</si>
  <si>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</si>
  <si>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</si>
  <si>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</si>
  <si>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</si>
  <si>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</si>
  <si>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</si>
  <si>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</si>
  <si>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</si>
  <si>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</si>
  <si>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</si>
  <si>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</si>
  <si>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</si>
  <si>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</si>
  <si>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</si>
  <si>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</si>
  <si>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</si>
  <si>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</si>
  <si>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</si>
  <si>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</si>
  <si>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</si>
  <si>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</si>
  <si>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</si>
  <si>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</si>
  <si>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</si>
  <si>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</si>
  <si>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</si>
  <si>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</si>
  <si>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</si>
  <si>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</si>
  <si>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</si>
  <si>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</si>
  <si>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</si>
  <si>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</si>
  <si>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</si>
  <si>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</si>
  <si>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</si>
  <si>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</si>
  <si>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</si>
  <si>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</si>
  <si>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</si>
  <si>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</si>
  <si>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</si>
  <si>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</si>
  <si>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</si>
  <si>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</si>
  <si>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</si>
  <si>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</si>
  <si>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</si>
  <si>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</si>
  <si>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</si>
  <si>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</si>
  <si>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</si>
  <si>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</si>
  <si>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</si>
  <si>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</si>
  <si>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</si>
  <si>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</si>
  <si>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</si>
  <si>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</si>
  <si>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</si>
  <si>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</si>
  <si>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</si>
  <si>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</si>
  <si>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</si>
  <si>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</si>
  <si>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</si>
  <si>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</si>
  <si>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</si>
  <si>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</si>
  <si>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</si>
  <si>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</si>
  <si>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</si>
  <si>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</si>
  <si>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</si>
  <si>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</si>
  <si>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</si>
  <si>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</si>
  <si>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</si>
  <si>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</si>
  <si>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</si>
  <si>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</si>
  <si>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</si>
  <si>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</si>
  <si>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</si>
  <si>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</si>
  <si>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</si>
  <si>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</si>
  <si>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</si>
  <si>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</si>
  <si>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</si>
  <si>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</si>
  <si>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</si>
  <si>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</si>
  <si>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</si>
  <si>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</si>
  <si>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</si>
  <si>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</si>
  <si>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</si>
  <si>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</si>
  <si>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</si>
  <si>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</si>
  <si>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</si>
  <si>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</si>
  <si>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</si>
  <si>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</si>
  <si>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</si>
  <si>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</si>
  <si>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</si>
  <si>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</si>
  <si>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</si>
  <si>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</si>
  <si>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</si>
  <si>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</si>
  <si>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</si>
  <si>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</si>
  <si>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</si>
  <si>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</si>
  <si>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</si>
  <si>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</si>
  <si>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</si>
  <si>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</si>
  <si>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</si>
  <si>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</si>
  <si>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</si>
  <si>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</si>
  <si>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</si>
  <si>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</si>
  <si>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</si>
  <si>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</si>
  <si>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</si>
  <si>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</si>
  <si>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</si>
  <si>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</si>
  <si>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</si>
  <si>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</si>
  <si>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</si>
  <si>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</si>
  <si>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</si>
  <si>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</si>
  <si>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</si>
  <si>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</si>
  <si>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</si>
  <si>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</si>
  <si>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</si>
  <si>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</si>
  <si>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</si>
  <si>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</si>
  <si>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</si>
  <si>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</si>
  <si>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</si>
  <si>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</si>
  <si>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</si>
  <si>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</si>
  <si>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</si>
  <si>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</si>
  <si>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</si>
  <si>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</si>
  <si>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</si>
  <si>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</si>
  <si>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</si>
  <si>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</si>
  <si>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</si>
  <si>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</si>
  <si>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</si>
  <si>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</si>
  <si>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</si>
  <si>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</si>
  <si>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</si>
  <si>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</si>
  <si>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</si>
  <si>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</si>
  <si>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</si>
  <si>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</si>
  <si>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</si>
  <si>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</si>
  <si>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</si>
  <si>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</si>
  <si>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</si>
  <si>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</si>
  <si>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</si>
  <si>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</si>
  <si>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</si>
  <si>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</si>
  <si>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</si>
  <si>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</si>
  <si>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</si>
  <si>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</si>
  <si>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</si>
  <si>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</si>
  <si>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</si>
  <si>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</si>
  <si>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</si>
  <si>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</si>
  <si>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</si>
  <si>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</si>
  <si>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</si>
  <si>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</si>
  <si>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</si>
  <si>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</si>
  <si>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</si>
  <si>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</si>
  <si>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</si>
  <si>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</si>
  <si>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</si>
  <si>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</si>
  <si>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</si>
  <si>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</si>
  <si>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</si>
  <si>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</si>
  <si>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</si>
  <si>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</si>
  <si>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</si>
  <si>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</si>
  <si>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</si>
  <si>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</si>
  <si>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</si>
  <si>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</si>
  <si>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</si>
  <si>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</si>
  <si>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</si>
  <si>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</si>
  <si>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</si>
  <si>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</si>
  <si>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</si>
  <si>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</si>
  <si>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</si>
  <si>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</si>
  <si>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</si>
  <si>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</si>
  <si>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</si>
  <si>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</si>
  <si>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</si>
  <si>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</si>
  <si>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</si>
  <si>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</si>
  <si>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</si>
  <si>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</si>
  <si>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</si>
  <si>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</si>
  <si>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</si>
  <si>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</si>
  <si>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</si>
  <si>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</si>
  <si>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</si>
  <si>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</si>
  <si>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</si>
  <si>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</si>
  <si>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</si>
  <si>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</si>
  <si>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</si>
  <si>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</si>
  <si>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</si>
  <si>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</si>
  <si>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</si>
  <si>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</si>
  <si>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</si>
  <si>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</si>
  <si>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</si>
  <si>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</si>
  <si>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</si>
  <si>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</si>
  <si>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</si>
  <si>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</si>
  <si>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</si>
  <si>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</si>
  <si>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</si>
  <si>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</si>
  <si>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</si>
  <si>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</si>
  <si>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</si>
  <si>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</si>
  <si>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</si>
  <si>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</si>
  <si>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</si>
  <si>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</si>
  <si>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</si>
  <si>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</si>
  <si>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</si>
  <si>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</si>
  <si>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</si>
  <si>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</si>
  <si>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</si>
  <si>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</si>
  <si>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</si>
  <si>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</si>
  <si>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</si>
  <si>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</si>
  <si>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</si>
  <si>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</si>
  <si>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</si>
  <si>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</si>
  <si>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</si>
  <si>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</si>
  <si>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</si>
  <si>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</si>
  <si>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</si>
  <si>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</si>
  <si>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</si>
  <si>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</si>
  <si>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</si>
  <si>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</si>
  <si>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</si>
  <si>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</si>
  <si>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</si>
  <si>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</si>
  <si>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</si>
  <si>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</si>
  <si>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</si>
  <si>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</si>
  <si>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</si>
  <si>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</si>
  <si>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</si>
  <si>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</si>
  <si>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</si>
  <si>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</si>
  <si>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</si>
  <si>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</si>
  <si>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</si>
  <si>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</si>
  <si>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</si>
  <si>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</si>
  <si>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</si>
  <si>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</si>
  <si>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</si>
  <si>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</si>
  <si>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</si>
  <si>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</si>
  <si>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</si>
  <si>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</si>
  <si>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</si>
  <si>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</si>
  <si>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</si>
  <si>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</si>
  <si>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</si>
  <si>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</si>
  <si>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</si>
  <si>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</si>
  <si>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</si>
  <si>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</si>
  <si>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</si>
  <si>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</si>
  <si>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</si>
  <si>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</si>
  <si>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</si>
  <si>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</si>
  <si>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</si>
  <si>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</si>
  <si>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</si>
  <si>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</si>
  <si>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</si>
  <si>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</si>
  <si>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</si>
  <si>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</si>
  <si>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</si>
  <si>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</si>
  <si>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</si>
  <si>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</si>
  <si>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</si>
  <si>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</si>
  <si>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</si>
  <si>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</si>
  <si>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</si>
  <si>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</si>
  <si>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</si>
  <si>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</si>
  <si>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</si>
  <si>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</si>
  <si>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</si>
  <si>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</si>
  <si>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</si>
  <si>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</si>
  <si>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</si>
  <si>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</si>
  <si>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</si>
  <si>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</si>
  <si>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</si>
  <si>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</si>
  <si>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</si>
  <si>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</si>
  <si>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</si>
  <si>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</si>
  <si>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</si>
  <si>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</si>
  <si>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</si>
  <si>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</si>
  <si>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</si>
  <si>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</si>
  <si>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</si>
  <si>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</si>
  <si>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</si>
  <si>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</si>
  <si>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</si>
  <si>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</si>
  <si>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</si>
  <si>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</si>
  <si>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</si>
  <si>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</si>
  <si>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</si>
  <si>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</si>
  <si>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</si>
  <si>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</si>
  <si>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</si>
  <si>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</si>
  <si>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</si>
  <si>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</si>
  <si>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</si>
  <si>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</si>
  <si>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</si>
  <si>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</si>
  <si>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</si>
  <si>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</si>
  <si>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</si>
  <si>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</si>
  <si>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</si>
  <si>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</si>
  <si>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</si>
  <si>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</si>
  <si>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</si>
  <si>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</si>
  <si>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</si>
  <si>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</si>
  <si>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</si>
  <si>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</si>
  <si>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</si>
  <si>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</si>
  <si>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</si>
  <si>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</si>
  <si>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</si>
  <si>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</si>
  <si>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</si>
  <si>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</si>
  <si>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</si>
  <si>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</si>
  <si>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</si>
  <si>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</si>
  <si>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</si>
  <si>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</si>
  <si>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</si>
  <si>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</si>
  <si>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</si>
  <si>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</si>
  <si>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</si>
  <si>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</si>
  <si>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</si>
  <si>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</si>
  <si>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</si>
  <si>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</si>
  <si>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</si>
  <si>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</si>
  <si>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</si>
  <si>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</si>
  <si>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</si>
  <si>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</si>
  <si>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</si>
  <si>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</si>
  <si>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</si>
  <si>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</si>
  <si>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</si>
  <si>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</si>
  <si>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</si>
  <si>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</si>
  <si>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</si>
  <si>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</si>
  <si>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</si>
  <si>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</si>
  <si>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</si>
  <si>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</si>
  <si>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</si>
  <si>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</si>
  <si>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</si>
  <si>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</si>
  <si>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</si>
  <si>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</si>
  <si>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</si>
  <si>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</si>
  <si>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</si>
  <si>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</si>
  <si>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</si>
  <si>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</si>
  <si>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</si>
  <si>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</si>
  <si>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</si>
  <si>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</si>
  <si>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</si>
  <si>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</si>
  <si>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</si>
  <si>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</si>
  <si>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</si>
  <si>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</si>
  <si>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</si>
  <si>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</si>
  <si>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</si>
  <si>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</si>
  <si>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</si>
  <si>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</si>
  <si>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</si>
  <si>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</si>
  <si>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</si>
  <si>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</si>
  <si>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</si>
  <si>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</si>
  <si>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</si>
  <si>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</si>
  <si>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</si>
  <si>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</si>
  <si>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</si>
  <si>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</si>
  <si>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</si>
  <si>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</si>
  <si>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</si>
  <si>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</si>
  <si>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</si>
  <si>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</si>
  <si>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</si>
  <si>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</si>
  <si>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</si>
  <si>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</si>
  <si>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</si>
  <si>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</si>
  <si>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</si>
  <si>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</si>
  <si>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</si>
  <si>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</si>
  <si>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</si>
  <si>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</si>
  <si>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</si>
  <si>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</si>
  <si>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</si>
  <si>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</si>
  <si>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</si>
  <si>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</si>
  <si>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</si>
  <si>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</si>
  <si>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</si>
  <si>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</si>
  <si>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</si>
  <si>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</si>
  <si>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</si>
  <si>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</si>
  <si>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</si>
  <si>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</si>
  <si>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</si>
  <si>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</si>
  <si>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</si>
  <si>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</si>
  <si>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</si>
  <si>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</si>
  <si>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</si>
  <si>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</si>
  <si>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</si>
  <si>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</si>
  <si>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</si>
  <si>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</si>
  <si>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</si>
  <si>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</si>
  <si>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</si>
  <si>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</si>
  <si>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</si>
  <si>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</si>
  <si>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</si>
  <si>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</si>
  <si>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</si>
  <si>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</si>
  <si>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</si>
  <si>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</si>
  <si>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</si>
  <si>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</si>
  <si>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</si>
  <si>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</si>
  <si>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</si>
  <si>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</si>
  <si>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</si>
  <si>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</si>
  <si>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</si>
  <si>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</si>
  <si>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</si>
  <si>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</si>
  <si>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</si>
  <si>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</si>
  <si>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</si>
  <si>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</si>
  <si>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</si>
  <si>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</si>
  <si>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</si>
  <si>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</si>
  <si>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</si>
  <si>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</si>
  <si>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</si>
  <si>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</si>
  <si>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</si>
  <si>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</si>
  <si>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</si>
  <si>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</si>
  <si>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</si>
  <si>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</si>
  <si>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</si>
  <si>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</si>
  <si>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</si>
  <si>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</si>
  <si>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</si>
  <si>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</si>
  <si>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</si>
  <si>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</si>
  <si>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</si>
  <si>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</si>
  <si>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</si>
  <si>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</si>
  <si>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</si>
  <si>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</si>
  <si>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</si>
  <si>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</si>
  <si>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</si>
  <si>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</si>
  <si>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</si>
  <si>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</si>
  <si>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</si>
  <si>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</si>
  <si>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</si>
  <si>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</si>
  <si>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</si>
  <si>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</si>
  <si>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</si>
  <si>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</si>
  <si>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</si>
  <si>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</si>
  <si>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</si>
  <si>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</si>
  <si>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</si>
  <si>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</si>
  <si>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</si>
  <si>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</si>
  <si>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</si>
  <si>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</si>
  <si>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</si>
  <si>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</si>
  <si>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</si>
  <si>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</si>
  <si>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</si>
  <si>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</si>
  <si>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</si>
  <si>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</si>
  <si>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</si>
  <si>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</si>
  <si>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</si>
  <si>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</si>
  <si>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</si>
  <si>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</si>
  <si>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</si>
  <si>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</si>
  <si>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</si>
  <si>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</si>
  <si>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</si>
  <si>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</si>
  <si>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</si>
  <si>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</si>
  <si>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</si>
  <si>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</si>
  <si>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</si>
  <si>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</si>
  <si>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</si>
  <si>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</si>
  <si>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</si>
  <si>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</si>
  <si>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</si>
  <si>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</si>
  <si>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</si>
  <si>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</si>
  <si>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</si>
  <si>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</si>
  <si>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</si>
  <si>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</si>
  <si>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</si>
  <si>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</si>
  <si>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</si>
  <si>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</si>
  <si>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</si>
  <si>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</si>
  <si>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</si>
  <si>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</si>
  <si>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</si>
  <si>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</si>
  <si>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</si>
  <si>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</si>
  <si>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</si>
  <si>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</si>
  <si>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</si>
  <si>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</si>
  <si>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</si>
  <si>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</si>
  <si>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</si>
  <si>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</si>
  <si>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</si>
  <si>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</si>
  <si>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</si>
  <si>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</si>
  <si>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</si>
  <si>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</si>
  <si>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</si>
  <si>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</si>
  <si>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</si>
  <si>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</si>
  <si>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</si>
  <si>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</si>
  <si>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</si>
  <si>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</si>
  <si>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</si>
  <si>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</si>
  <si>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</si>
  <si>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</si>
  <si>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</si>
  <si>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</si>
  <si>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</si>
  <si>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</si>
  <si>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</si>
  <si>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</si>
  <si>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</si>
  <si>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</si>
  <si>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</si>
  <si>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</si>
  <si>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</si>
  <si>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</si>
  <si>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</si>
  <si>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</si>
  <si>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</si>
  <si>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</si>
  <si>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</si>
  <si>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</si>
  <si>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</si>
  <si>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</si>
  <si>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</si>
  <si>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</si>
  <si>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</si>
  <si>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</si>
  <si>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</si>
  <si>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</si>
  <si>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</si>
  <si>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</si>
  <si>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</si>
  <si>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</si>
  <si>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</si>
  <si>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</si>
  <si>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</si>
  <si>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</si>
  <si>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</si>
  <si>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</si>
  <si>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</si>
  <si>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</si>
  <si>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</si>
  <si>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</si>
  <si>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</si>
  <si>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</si>
  <si>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</si>
  <si>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</si>
  <si>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</si>
  <si>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</si>
  <si>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</si>
  <si>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</si>
  <si>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</si>
  <si>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</si>
  <si>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</si>
  <si>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</si>
  <si>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</si>
  <si>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</si>
  <si>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</si>
  <si>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</si>
  <si>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</si>
  <si>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</si>
  <si>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</si>
  <si>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</si>
  <si>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</si>
  <si>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</si>
  <si>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</si>
  <si>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</si>
  <si>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</si>
  <si>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</si>
  <si>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</si>
  <si>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</si>
  <si>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</si>
  <si>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</si>
  <si>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</si>
  <si>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</si>
  <si>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</si>
  <si>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</si>
  <si>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</si>
  <si>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</si>
  <si>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</si>
  <si>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</si>
  <si>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</si>
  <si>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</si>
  <si>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</si>
  <si>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</si>
  <si>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</si>
  <si>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</si>
  <si>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</si>
  <si>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</si>
  <si>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</si>
  <si>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</si>
  <si>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</si>
  <si>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</si>
  <si>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</si>
  <si>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</si>
  <si>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</si>
  <si>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</si>
  <si>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</si>
  <si>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</si>
  <si>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</si>
  <si>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</si>
  <si>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</si>
  <si>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</si>
  <si>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</si>
  <si>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</si>
  <si>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</si>
  <si>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</si>
  <si>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</si>
  <si>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</si>
  <si>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</si>
  <si>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</si>
  <si>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</si>
  <si>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</si>
  <si>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</si>
  <si>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</si>
  <si>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</si>
  <si>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</si>
  <si>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</si>
  <si>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</si>
  <si>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</si>
  <si>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</si>
  <si>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</si>
  <si>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</si>
  <si>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</si>
  <si>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</si>
  <si>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</si>
  <si>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</si>
  <si>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</si>
  <si>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</si>
  <si>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</si>
  <si>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</si>
  <si>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</si>
  <si>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</si>
  <si>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</si>
  <si>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</si>
  <si>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</si>
  <si>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</si>
  <si>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</si>
  <si>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</si>
  <si>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</si>
  <si>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</si>
  <si>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</si>
  <si>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</si>
  <si>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</si>
  <si>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</si>
  <si>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</si>
  <si>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</si>
  <si>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</si>
  <si>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</si>
  <si>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</si>
  <si>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</si>
  <si>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</si>
  <si>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</si>
  <si>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</si>
  <si>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</si>
  <si>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</si>
  <si>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</si>
  <si>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</si>
  <si>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</si>
  <si>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</si>
  <si>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</si>
  <si>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</si>
  <si>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</si>
  <si>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</si>
  <si>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</si>
  <si>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</si>
  <si>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</si>
  <si>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</si>
  <si>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</si>
  <si>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</si>
  <si>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</si>
  <si>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</si>
  <si>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</si>
  <si>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</si>
  <si>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</si>
  <si>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</si>
  <si>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</si>
  <si>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</si>
  <si>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</si>
  <si>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</si>
  <si>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</si>
  <si>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</si>
  <si>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</si>
  <si>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</si>
  <si>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</si>
  <si>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</si>
  <si>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</si>
  <si>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</si>
  <si>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</si>
  <si>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</si>
  <si>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</si>
  <si>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</si>
  <si>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</si>
  <si>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</si>
  <si>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</si>
  <si>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</si>
  <si>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</si>
  <si>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</si>
  <si>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</si>
  <si>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</si>
  <si>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</si>
  <si>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</si>
  <si>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</si>
  <si>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</si>
  <si>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</si>
  <si>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</si>
  <si>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</si>
  <si>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</si>
  <si>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</si>
  <si>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</si>
  <si>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</si>
  <si>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</si>
  <si>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</si>
  <si>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</si>
  <si>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</si>
  <si>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</si>
  <si>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</si>
  <si>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</si>
  <si>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</si>
  <si>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</si>
  <si>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</si>
  <si>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</si>
  <si>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</si>
  <si>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</si>
  <si>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</si>
  <si>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</si>
  <si>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</si>
  <si>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</si>
  <si>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</si>
  <si>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</si>
  <si>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</si>
  <si>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</si>
  <si>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</si>
  <si>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</si>
  <si>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</si>
  <si>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</si>
  <si>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</si>
  <si>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</si>
  <si>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</si>
  <si>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</si>
  <si>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</si>
  <si>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</si>
  <si>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</si>
  <si>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</si>
  <si>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</si>
  <si>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</si>
  <si>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</si>
  <si>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</si>
  <si>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</si>
  <si>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</si>
  <si>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</si>
  <si>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</si>
  <si>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</si>
  <si>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</si>
  <si>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</si>
  <si>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</si>
  <si>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</si>
  <si>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</si>
  <si>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</si>
  <si>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</si>
  <si>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</si>
  <si>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</si>
  <si>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</si>
  <si>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</si>
  <si>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</si>
  <si>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</si>
  <si>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</si>
  <si>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</si>
  <si>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</si>
  <si>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</si>
  <si>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</si>
  <si>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</si>
  <si>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</si>
  <si>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</si>
  <si>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</si>
  <si>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</si>
  <si>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</si>
  <si>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</si>
  <si>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</si>
  <si>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</si>
  <si>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</si>
  <si>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</si>
  <si>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</si>
  <si>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</si>
  <si>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</si>
  <si>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</si>
  <si>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</si>
  <si>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</si>
  <si>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</si>
  <si>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</si>
  <si>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</si>
  <si>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</si>
  <si>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</si>
  <si>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</si>
  <si>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</si>
  <si>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</si>
  <si>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</si>
  <si>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</si>
  <si>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</si>
  <si>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</si>
  <si>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</si>
  <si>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</si>
  <si>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</si>
  <si>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</si>
  <si>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</si>
  <si>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</si>
  <si>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</si>
  <si>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</si>
  <si>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</si>
  <si>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</si>
  <si>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</si>
  <si>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</si>
  <si>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</si>
  <si>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</si>
  <si>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</si>
  <si>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</si>
  <si>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</si>
  <si>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</si>
  <si>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</si>
  <si>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</si>
  <si>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</si>
  <si>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</si>
  <si>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</si>
  <si>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</si>
  <si>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</si>
  <si>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</si>
  <si>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</si>
  <si>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</si>
  <si>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</si>
  <si>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</si>
  <si>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</si>
  <si>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</si>
  <si>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</si>
  <si>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</si>
  <si>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</si>
  <si>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</si>
  <si>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</si>
  <si>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</si>
  <si>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</si>
  <si>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</si>
  <si>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</si>
  <si>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</si>
  <si>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</si>
  <si>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</si>
  <si>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</si>
  <si>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</si>
  <si>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</si>
  <si>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</si>
  <si>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</si>
  <si>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</si>
  <si>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</si>
  <si>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</si>
  <si>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</si>
  <si>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</si>
  <si>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</si>
  <si>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</si>
  <si>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</si>
  <si>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</si>
  <si>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</si>
  <si>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</si>
  <si>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</si>
  <si>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</si>
  <si>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</si>
  <si>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</si>
  <si>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</si>
  <si>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</si>
  <si>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</si>
  <si>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</si>
  <si>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</si>
  <si>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</si>
  <si>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</si>
  <si>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</si>
  <si>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</si>
  <si>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</si>
  <si>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</si>
  <si>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</si>
  <si>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</si>
  <si>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</si>
  <si>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</si>
  <si>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</si>
  <si>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</si>
  <si>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</si>
  <si>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</si>
  <si>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</si>
  <si>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</si>
  <si>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</si>
  <si>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</si>
  <si>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</si>
  <si>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</si>
  <si>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</si>
  <si>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</si>
  <si>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</si>
  <si>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</si>
  <si>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</si>
  <si>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</si>
  <si>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</si>
  <si>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</si>
  <si>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</si>
  <si>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</si>
  <si>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</si>
  <si>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</si>
  <si>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</si>
  <si>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</si>
  <si>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</si>
  <si>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</si>
  <si>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</si>
  <si>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</si>
  <si>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</si>
  <si>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</si>
  <si>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</si>
  <si>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</si>
  <si>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</si>
  <si>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</si>
  <si>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</si>
  <si>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</si>
  <si>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</si>
  <si>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</si>
  <si>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</si>
  <si>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</si>
  <si>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</si>
  <si>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</si>
  <si>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</si>
  <si>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</si>
  <si>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</si>
  <si>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</si>
  <si>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</si>
  <si>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</si>
  <si>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</si>
  <si>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</si>
  <si>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</si>
  <si>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</si>
  <si>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</si>
  <si>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</si>
  <si>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</si>
  <si>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</si>
  <si>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</si>
  <si>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</si>
  <si>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</si>
  <si>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</si>
  <si>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</si>
  <si>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</si>
  <si>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</si>
  <si>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</si>
  <si>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</si>
  <si>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</si>
  <si>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</si>
  <si>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</si>
  <si>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</si>
  <si>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</si>
  <si>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</si>
  <si>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</si>
  <si>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</si>
  <si>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</si>
  <si>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</si>
  <si>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</si>
  <si>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</si>
  <si>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</si>
  <si>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</si>
  <si>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</si>
  <si>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</si>
  <si>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</si>
  <si>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</si>
  <si>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</si>
  <si>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</si>
  <si>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</si>
  <si>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</si>
  <si>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</si>
  <si>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</si>
  <si>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</si>
  <si>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</si>
  <si>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</si>
  <si>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</si>
  <si>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</si>
  <si>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</si>
  <si>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</si>
  <si>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</si>
  <si>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</si>
  <si>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</si>
  <si>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</si>
  <si>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</si>
  <si>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</si>
  <si>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</si>
  <si>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</si>
  <si>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</si>
  <si>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</si>
  <si>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</si>
  <si>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</si>
  <si>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</si>
  <si>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</si>
  <si>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</si>
  <si>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</si>
  <si>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</si>
  <si>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</si>
  <si>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</si>
  <si>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</si>
  <si>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</si>
  <si>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</si>
  <si>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</si>
  <si>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</si>
  <si>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</si>
  <si>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</si>
  <si>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</si>
  <si>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</si>
  <si>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</si>
  <si>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</si>
  <si>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</si>
  <si>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</si>
  <si>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</si>
  <si>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</si>
  <si>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</si>
  <si>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</si>
  <si>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</si>
  <si>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</si>
  <si>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</si>
  <si>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</si>
  <si>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</si>
  <si>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</si>
  <si>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</si>
  <si>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</si>
  <si>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</si>
  <si>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</si>
  <si>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</si>
  <si>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</si>
  <si>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</si>
  <si>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</si>
  <si>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</si>
  <si>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</si>
  <si>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</si>
  <si>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</si>
  <si>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</si>
  <si>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</si>
  <si>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</si>
  <si>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</si>
  <si>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</si>
  <si>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</si>
  <si>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</si>
  <si>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</si>
  <si>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</si>
  <si>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</si>
  <si>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</si>
  <si>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</si>
  <si>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</si>
  <si>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</si>
  <si>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</si>
  <si>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</si>
  <si>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</si>
  <si>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</si>
  <si>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</si>
  <si>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</si>
  <si>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</si>
  <si>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</si>
  <si>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</si>
  <si>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</si>
  <si>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</si>
  <si>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</si>
  <si>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</si>
  <si>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</si>
  <si>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</si>
  <si>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</si>
  <si>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</si>
  <si>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</si>
  <si>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</si>
  <si>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</si>
  <si>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</si>
  <si>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</si>
  <si>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</si>
  <si>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</si>
  <si>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</si>
  <si>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</si>
  <si>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</si>
  <si>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</si>
  <si>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</si>
  <si>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</si>
  <si>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</si>
  <si>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</si>
  <si>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</si>
  <si>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</si>
  <si>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</si>
  <si>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</si>
  <si>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</si>
  <si>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</si>
  <si>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</si>
  <si>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</si>
  <si>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</si>
  <si>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</si>
  <si>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</si>
  <si>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</si>
  <si>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</si>
  <si>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</si>
  <si>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</si>
  <si>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</si>
  <si>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</si>
  <si>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</si>
  <si>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</si>
  <si>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</si>
  <si>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</si>
  <si>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</si>
  <si>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</si>
  <si>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</si>
  <si>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</si>
  <si>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</si>
  <si>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</si>
  <si>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</si>
  <si>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</si>
  <si>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</si>
  <si>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</si>
  <si>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</si>
  <si>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</si>
  <si>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</si>
  <si>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</si>
  <si>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</si>
  <si>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</si>
  <si>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</si>
  <si>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</si>
  <si>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</si>
  <si>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</si>
  <si>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</si>
  <si>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</si>
  <si>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</si>
  <si>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</si>
  <si>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</si>
  <si>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</si>
  <si>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</si>
  <si>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</si>
  <si>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</si>
  <si>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</si>
  <si>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</si>
  <si>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</si>
  <si>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</si>
  <si>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</si>
  <si>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</si>
  <si>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</si>
  <si>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</si>
  <si>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</si>
  <si>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</si>
  <si>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</si>
  <si>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</si>
  <si>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</si>
  <si>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</si>
  <si>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</si>
  <si>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</si>
  <si>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</si>
  <si>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</si>
  <si>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</si>
  <si>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</si>
  <si>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</si>
  <si>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</si>
  <si>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</si>
  <si>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</si>
  <si>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</si>
  <si>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</si>
  <si>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</si>
  <si>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</si>
  <si>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</si>
  <si>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</si>
  <si>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</si>
  <si>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</si>
  <si>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</si>
  <si>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</si>
  <si>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</si>
  <si>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</si>
  <si>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</si>
  <si>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</si>
  <si>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</si>
  <si>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</si>
  <si>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</si>
  <si>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</si>
  <si>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</si>
  <si>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</si>
  <si>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</si>
  <si>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</si>
  <si>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</si>
  <si>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</si>
  <si>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</si>
  <si>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</si>
  <si>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</si>
  <si>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</si>
  <si>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</si>
  <si>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</si>
  <si>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</si>
  <si>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</si>
  <si>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</si>
  <si>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</si>
  <si>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</si>
  <si>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</si>
  <si>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</si>
  <si>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</si>
  <si>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</si>
  <si>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</si>
  <si>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</si>
  <si>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</si>
  <si>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</si>
  <si>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</si>
  <si>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</si>
  <si>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</si>
  <si>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</si>
  <si>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</si>
  <si>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</si>
  <si>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</si>
  <si>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</si>
  <si>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</si>
  <si>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</si>
  <si>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</si>
  <si>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</si>
  <si>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</si>
  <si>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</si>
  <si>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</si>
  <si>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</si>
  <si>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</si>
  <si>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</si>
  <si>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</si>
  <si>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</si>
  <si>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</si>
  <si>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</si>
  <si>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</si>
  <si>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</si>
  <si>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</si>
  <si>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</si>
  <si>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</si>
  <si>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</si>
  <si>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</si>
  <si>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</si>
  <si>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</si>
  <si>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</si>
  <si>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</si>
  <si>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</si>
  <si>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</si>
  <si>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</si>
  <si>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</si>
  <si>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</si>
  <si>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</si>
  <si>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</si>
  <si>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</si>
  <si>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</si>
  <si>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</si>
  <si>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</si>
  <si>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</si>
  <si>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</si>
  <si>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</si>
  <si>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</si>
  <si>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</si>
  <si>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</si>
  <si>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</si>
  <si>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</si>
  <si>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</si>
  <si>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</si>
  <si>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</si>
  <si>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</si>
  <si>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</si>
  <si>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</si>
  <si>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</si>
  <si>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</si>
  <si>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</si>
  <si>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</si>
  <si>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</si>
  <si>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</si>
  <si>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</si>
  <si>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</si>
  <si>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</si>
  <si>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</si>
  <si>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</si>
  <si>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</si>
  <si>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</si>
  <si>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</si>
  <si>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</si>
  <si>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</si>
  <si>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</si>
  <si>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</si>
  <si>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</si>
  <si>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</si>
  <si>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</si>
  <si>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</si>
  <si>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</si>
  <si>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</si>
  <si>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</si>
  <si>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</si>
  <si>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</si>
  <si>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</si>
  <si>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</si>
  <si>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</si>
  <si>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</si>
  <si>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</si>
  <si>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</si>
  <si>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</si>
  <si>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</si>
  <si>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</si>
  <si>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</si>
  <si>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</si>
  <si>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</si>
  <si>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</si>
  <si>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</si>
  <si>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</si>
  <si>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</si>
  <si>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</si>
  <si>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</si>
  <si>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</si>
  <si>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</si>
  <si>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</si>
  <si>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</si>
  <si>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</si>
  <si>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</si>
  <si>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</si>
  <si>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</si>
  <si>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</si>
  <si>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</si>
  <si>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</si>
  <si>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</si>
  <si>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</si>
  <si>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</si>
  <si>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</si>
  <si>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</si>
  <si>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</si>
  <si>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</si>
  <si>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</si>
  <si>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</si>
  <si>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</si>
  <si>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</si>
  <si>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</si>
  <si>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</si>
  <si>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</si>
  <si>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</si>
  <si>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</si>
  <si>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</si>
  <si>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</si>
  <si>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</si>
  <si>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</si>
  <si>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</si>
  <si>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</si>
  <si>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</si>
  <si>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</si>
  <si>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</si>
  <si>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</si>
  <si>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</si>
  <si>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</si>
  <si>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</si>
  <si>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</si>
  <si>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</si>
  <si>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</si>
  <si>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</si>
  <si>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</si>
  <si>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</si>
  <si>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</si>
  <si>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</si>
  <si>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</si>
  <si>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</si>
  <si>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</si>
  <si>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</si>
  <si>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</si>
  <si>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</si>
  <si>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</si>
  <si>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</si>
  <si>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</si>
  <si>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</si>
  <si>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</si>
  <si>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</si>
  <si>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</si>
  <si>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</si>
  <si>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</si>
  <si>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</si>
  <si>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</si>
  <si>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</si>
  <si>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</si>
  <si>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</si>
  <si>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</si>
  <si>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</si>
  <si>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</si>
  <si>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</si>
  <si>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</si>
  <si>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</si>
  <si>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</si>
  <si>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</si>
  <si>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</si>
  <si>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</si>
  <si>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</si>
  <si>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</si>
  <si>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</si>
  <si>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</si>
  <si>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</si>
  <si>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</si>
  <si>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</si>
  <si>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</si>
  <si>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</si>
  <si>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</si>
  <si>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</si>
  <si>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</si>
  <si>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</si>
  <si>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</si>
  <si>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</si>
  <si>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</si>
  <si>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</si>
  <si>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</si>
  <si>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</si>
  <si>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</si>
  <si>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</si>
  <si>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</si>
  <si>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</si>
  <si>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</si>
  <si>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</si>
  <si>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</si>
  <si>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</si>
  <si>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</si>
  <si>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</si>
  <si>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</si>
  <si>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</si>
  <si>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</si>
  <si>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</si>
  <si>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</si>
  <si>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</si>
  <si>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</si>
  <si>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</si>
  <si>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</si>
  <si>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</si>
  <si>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</si>
  <si>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</si>
  <si>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</si>
  <si>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</si>
  <si>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</si>
  <si>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</si>
  <si>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</si>
  <si>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</si>
  <si>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</si>
  <si>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</si>
  <si>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</si>
  <si>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</si>
  <si>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</si>
  <si>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</si>
  <si>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</si>
  <si>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</si>
  <si>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</si>
  <si>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</si>
  <si>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</si>
  <si>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</si>
  <si>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</si>
  <si>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</si>
  <si>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</si>
  <si>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</si>
  <si>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</si>
  <si>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</si>
  <si>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</si>
  <si>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</si>
  <si>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</si>
  <si>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</si>
  <si>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</si>
  <si>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</si>
  <si>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</si>
  <si>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</si>
  <si>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</si>
  <si>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</si>
  <si>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</si>
  <si>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</si>
  <si>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</si>
  <si>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</si>
  <si>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</si>
  <si>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</si>
  <si>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</si>
  <si>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</si>
  <si>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</si>
  <si>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</si>
  <si>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</si>
  <si>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</si>
  <si>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</si>
  <si>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</si>
  <si>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</si>
  <si>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</si>
  <si>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</si>
  <si>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</si>
  <si>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</si>
  <si>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</si>
  <si>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</si>
  <si>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</si>
  <si>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</si>
  <si>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</si>
  <si>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</si>
  <si>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</si>
  <si>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</si>
  <si>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</si>
  <si>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</si>
  <si>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</si>
  <si>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</si>
  <si>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</si>
  <si>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</si>
  <si>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</si>
  <si>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</si>
  <si>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</si>
  <si>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</si>
  <si>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</si>
  <si>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</si>
  <si>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</si>
  <si>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</si>
  <si>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</si>
  <si>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</si>
  <si>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</si>
  <si>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</si>
  <si>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</si>
  <si>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</si>
  <si>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</si>
  <si>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</si>
  <si>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</si>
  <si>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</si>
  <si>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</si>
  <si>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</si>
  <si>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</si>
  <si>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</si>
  <si>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</si>
  <si>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</si>
  <si>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</si>
  <si>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</si>
  <si>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</si>
  <si>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</si>
  <si>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</si>
  <si>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</si>
  <si>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</si>
  <si>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</si>
  <si>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</si>
  <si>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</si>
  <si>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</si>
  <si>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</si>
  <si>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</si>
  <si>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</si>
  <si>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</si>
  <si>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</si>
  <si>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</si>
  <si>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</si>
  <si>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</si>
  <si>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</si>
  <si>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</si>
  <si>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</si>
  <si>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</si>
  <si>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</si>
  <si>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</si>
  <si>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</si>
  <si>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</si>
  <si>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</si>
  <si>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</si>
  <si>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</si>
  <si>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</si>
  <si>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</si>
  <si>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</si>
  <si>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</si>
  <si>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</si>
  <si>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</si>
  <si>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</si>
  <si>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</si>
  <si>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</si>
  <si>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</si>
  <si>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</si>
  <si>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</si>
  <si>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</si>
  <si>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</si>
  <si>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</si>
  <si>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</si>
  <si>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</si>
  <si>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</si>
  <si>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</si>
  <si>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</si>
  <si>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</si>
  <si>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</si>
  <si>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</si>
  <si>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</si>
  <si>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</si>
  <si>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</si>
  <si>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</si>
  <si>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</si>
  <si>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</si>
  <si>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</si>
  <si>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</si>
  <si>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</si>
  <si>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</si>
  <si>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</si>
  <si>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</si>
  <si>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</si>
  <si>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</si>
  <si>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</si>
  <si>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</si>
  <si>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</si>
  <si>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</si>
  <si>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</si>
  <si>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</si>
  <si>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</si>
  <si>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</si>
  <si>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</si>
  <si>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</si>
  <si>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</si>
  <si>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</si>
  <si>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</si>
  <si>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</si>
  <si>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</si>
  <si>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</si>
  <si>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</si>
  <si>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</si>
  <si>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</si>
  <si>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</si>
  <si>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</si>
  <si>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</si>
  <si>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</si>
  <si>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</si>
  <si>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</si>
  <si>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</si>
  <si>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</si>
  <si>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</si>
  <si>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</si>
  <si>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</si>
  <si>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</si>
  <si>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</si>
  <si>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</si>
  <si>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</si>
  <si>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</si>
  <si>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</si>
  <si>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</si>
  <si>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</si>
  <si>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</si>
  <si>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</si>
  <si>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</si>
  <si>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</si>
  <si>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</si>
  <si>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</si>
  <si>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</si>
  <si>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</si>
  <si>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</si>
  <si>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</si>
  <si>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</si>
  <si>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</si>
  <si>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</si>
  <si>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</si>
  <si>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</si>
  <si>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</si>
  <si>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</si>
  <si>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</si>
  <si>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</si>
  <si>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</si>
  <si>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</si>
  <si>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</si>
  <si>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</si>
  <si>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</si>
  <si>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</si>
  <si>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</si>
  <si>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</si>
  <si>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</si>
  <si>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</si>
  <si>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</si>
  <si>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</si>
  <si>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</si>
  <si>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</si>
  <si>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</si>
  <si>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</si>
  <si>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</si>
  <si>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</si>
  <si>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</si>
  <si>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</si>
  <si>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</si>
  <si>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</si>
  <si>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</si>
  <si>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</si>
  <si>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</si>
  <si>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</si>
  <si>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</si>
  <si>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</si>
  <si>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</si>
  <si>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</si>
  <si>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</si>
  <si>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</si>
  <si>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</si>
  <si>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</si>
  <si>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</si>
  <si>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</si>
  <si>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</si>
  <si>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</si>
  <si>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</si>
  <si>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</si>
  <si>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</si>
  <si>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</si>
  <si>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</si>
  <si>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</si>
  <si>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</si>
  <si>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</si>
  <si>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</si>
  <si>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</si>
  <si>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</si>
  <si>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</si>
  <si>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</si>
  <si>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</si>
  <si>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</si>
  <si>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</si>
  <si>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</si>
  <si>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</si>
  <si>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</si>
  <si>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</si>
  <si>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</si>
  <si>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</si>
  <si>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</si>
  <si>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</si>
  <si>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</si>
  <si>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</si>
  <si>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</si>
  <si>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</si>
  <si>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</si>
  <si>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</si>
  <si>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</si>
  <si>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</si>
  <si>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</si>
  <si>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</si>
  <si>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</si>
  <si>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</si>
  <si>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</si>
  <si>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</si>
  <si>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</si>
  <si>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</si>
  <si>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</si>
  <si>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</si>
  <si>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</si>
  <si>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</si>
  <si>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</si>
  <si>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</si>
  <si>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</si>
  <si>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</si>
  <si>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</si>
  <si>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</si>
  <si>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</si>
  <si>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</si>
  <si>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</si>
  <si>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</si>
  <si>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</si>
  <si>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</si>
  <si>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</si>
  <si>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</si>
  <si>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</si>
  <si>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</si>
  <si>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</si>
  <si>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</si>
  <si>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</si>
  <si>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</si>
  <si>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</si>
  <si>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</si>
  <si>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</si>
  <si>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</si>
  <si>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</si>
  <si>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</si>
  <si>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</si>
  <si>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</si>
  <si>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</si>
  <si>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</si>
  <si>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</si>
  <si>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</si>
  <si>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</si>
  <si>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</si>
  <si>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</si>
  <si>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</si>
  <si>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</si>
  <si>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</si>
  <si>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</si>
  <si>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</si>
  <si>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</si>
  <si>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</si>
  <si>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</si>
  <si>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</si>
  <si>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</si>
  <si>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</si>
  <si>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</si>
  <si>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</si>
  <si>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</si>
  <si>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</si>
  <si>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</si>
  <si>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</si>
  <si>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</si>
  <si>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</si>
  <si>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</si>
  <si>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</si>
  <si>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</si>
  <si>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</si>
  <si>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</si>
  <si>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</si>
  <si>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</si>
  <si>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</si>
  <si>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</si>
  <si>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</si>
  <si>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</si>
  <si>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</si>
  <si>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</si>
  <si>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</si>
  <si>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</si>
  <si>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</si>
  <si>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</si>
  <si>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</si>
  <si>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</si>
  <si>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</si>
  <si>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</si>
  <si>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</si>
  <si>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</si>
  <si>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</si>
  <si>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</si>
  <si>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</si>
  <si>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</si>
  <si>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</si>
  <si>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</si>
  <si>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</si>
  <si>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</si>
  <si>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</si>
  <si>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</si>
  <si>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</si>
  <si>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</si>
  <si>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</si>
  <si>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</si>
  <si>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</si>
  <si>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</si>
  <si>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</si>
  <si>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</si>
  <si>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</si>
  <si>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</si>
  <si>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</si>
  <si>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</si>
  <si>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</si>
  <si>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</si>
  <si>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</si>
  <si>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</si>
  <si>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</si>
  <si>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</si>
  <si>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</si>
  <si>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</si>
  <si>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</si>
  <si>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</si>
  <si>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</si>
  <si>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</si>
  <si>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</si>
  <si>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</si>
  <si>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</si>
  <si>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</si>
  <si>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</si>
  <si>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</si>
  <si>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</si>
  <si>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</si>
  <si>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</si>
  <si>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</si>
  <si>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</si>
  <si>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</si>
  <si>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</si>
  <si>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</si>
  <si>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</si>
  <si>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</si>
  <si>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</si>
  <si>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</si>
  <si>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</si>
  <si>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</si>
  <si>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</si>
  <si>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</si>
  <si>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</si>
  <si>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</si>
  <si>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</si>
  <si>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</si>
  <si>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</si>
  <si>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</si>
  <si>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</si>
  <si>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</si>
  <si>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</si>
  <si>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</si>
  <si>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</si>
  <si>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</si>
  <si>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</si>
  <si>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</si>
  <si>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</si>
  <si>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</si>
  <si>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</si>
  <si>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</si>
  <si>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</si>
  <si>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</si>
  <si>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</si>
  <si>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</si>
  <si>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</si>
  <si>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</si>
  <si>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</si>
  <si>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</si>
  <si>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</si>
  <si>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</si>
  <si>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</si>
  <si>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</si>
  <si>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</si>
  <si>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</si>
  <si>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</si>
  <si>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</si>
  <si>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</si>
  <si>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</si>
  <si>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</si>
  <si>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</si>
  <si>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</si>
  <si>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</si>
  <si>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</si>
  <si>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</si>
  <si>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</si>
  <si>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</si>
  <si>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</si>
  <si>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</si>
  <si>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</si>
  <si>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</si>
  <si>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</si>
  <si>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</si>
  <si>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</si>
  <si>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</si>
  <si>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</si>
  <si>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</si>
  <si>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</si>
  <si>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</si>
  <si>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</si>
  <si>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</si>
  <si>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</si>
  <si>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</si>
  <si>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</si>
  <si>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</si>
  <si>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</si>
  <si>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</si>
  <si>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</si>
  <si>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</si>
  <si>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</si>
  <si>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</si>
  <si>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</si>
  <si>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</si>
  <si>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</si>
  <si>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</si>
  <si>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</si>
  <si>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</si>
  <si>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</si>
  <si>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</si>
  <si>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</si>
  <si>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</si>
  <si>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</si>
  <si>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</si>
  <si>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</si>
  <si>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</si>
  <si>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</si>
  <si>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</si>
  <si>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</si>
  <si>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</si>
  <si>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</si>
  <si>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</si>
  <si>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</si>
  <si>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</si>
  <si>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</si>
  <si>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</si>
  <si>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</si>
  <si>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</si>
  <si>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</si>
  <si>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</si>
  <si>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</si>
  <si>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</si>
  <si>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</si>
  <si>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</si>
  <si>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</si>
  <si>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</si>
  <si>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</si>
  <si>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</si>
  <si>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</si>
  <si>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</si>
  <si>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</si>
  <si>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</si>
  <si>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</si>
  <si>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</si>
  <si>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</si>
  <si>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</si>
  <si>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</si>
  <si>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</si>
  <si>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</si>
  <si>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</si>
  <si>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</si>
  <si>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</si>
  <si>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</si>
  <si>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</si>
  <si>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</si>
  <si>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</si>
  <si>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</si>
  <si>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</si>
  <si>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</si>
  <si>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</si>
  <si>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</si>
  <si>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</si>
  <si>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</si>
  <si>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</si>
  <si>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</si>
  <si>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</si>
  <si>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</si>
  <si>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</si>
  <si>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</si>
  <si>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</si>
  <si>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</si>
  <si>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</si>
  <si>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</si>
  <si>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</si>
  <si>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</si>
  <si>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</si>
  <si>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</si>
  <si>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</si>
  <si>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</si>
  <si>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</si>
  <si>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</si>
  <si>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</si>
  <si>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</si>
  <si>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</si>
  <si>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</si>
  <si>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</si>
  <si>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</si>
  <si>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</si>
  <si>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</si>
  <si>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</si>
  <si>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</si>
  <si>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</si>
  <si>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</si>
  <si>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</si>
  <si>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</si>
  <si>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</si>
  <si>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</si>
  <si>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</si>
  <si>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</si>
  <si>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</si>
  <si>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</si>
  <si>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</si>
  <si>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</si>
  <si>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</si>
  <si>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</si>
  <si>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</si>
  <si>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</si>
  <si>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</si>
  <si>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</si>
  <si>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</si>
  <si>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</si>
  <si>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</si>
  <si>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</si>
  <si>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</si>
  <si>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</si>
  <si>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</si>
  <si>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</si>
  <si>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</si>
  <si>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</si>
  <si>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</si>
  <si>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</si>
  <si>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</si>
  <si>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</si>
  <si>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</si>
  <si>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</si>
  <si>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</si>
  <si>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</si>
  <si>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</si>
  <si>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</si>
  <si>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</si>
  <si>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</si>
  <si>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</si>
  <si>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</si>
  <si>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</si>
  <si>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</si>
  <si>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</si>
  <si>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</si>
  <si>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</si>
  <si>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</si>
  <si>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</si>
  <si>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</si>
  <si>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</si>
  <si>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</si>
  <si>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</si>
  <si>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</si>
  <si>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</si>
  <si>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</si>
  <si>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</si>
  <si>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</si>
  <si>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</si>
  <si>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</si>
  <si>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</si>
  <si>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</si>
  <si>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</si>
  <si>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</si>
  <si>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</si>
  <si>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</si>
  <si>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</si>
  <si>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</si>
  <si>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</si>
  <si>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</si>
  <si>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</si>
  <si>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</si>
  <si>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</si>
  <si>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</si>
  <si>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</si>
  <si>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</si>
  <si>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</si>
  <si>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</si>
  <si>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</si>
  <si>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</si>
  <si>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</si>
  <si>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</si>
  <si>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</si>
  <si>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</si>
  <si>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</si>
  <si>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</si>
  <si>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</si>
  <si>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</si>
  <si>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</si>
  <si>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</si>
  <si>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</si>
  <si>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</si>
  <si>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</si>
  <si>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</si>
  <si>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</si>
  <si>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</si>
  <si>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</si>
  <si>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</si>
  <si>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</si>
  <si>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</si>
  <si>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</si>
  <si>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</si>
  <si>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</si>
  <si>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</si>
  <si>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</si>
  <si>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</si>
  <si>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</si>
  <si>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</si>
  <si>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</si>
  <si>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</si>
  <si>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</si>
  <si>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</si>
  <si>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</si>
  <si>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</si>
  <si>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</si>
  <si>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</si>
  <si>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</si>
  <si>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</si>
  <si>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</si>
  <si>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</si>
  <si>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</si>
  <si>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</si>
  <si>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</si>
  <si>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</si>
  <si>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</si>
  <si>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</si>
  <si>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</si>
  <si>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</si>
  <si>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</si>
  <si>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</si>
  <si>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</si>
  <si>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</si>
  <si>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</si>
  <si>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</si>
  <si>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</si>
  <si>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</si>
  <si>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</si>
  <si>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</si>
  <si>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</si>
  <si>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</si>
  <si>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</si>
  <si>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</si>
  <si>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</si>
  <si>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</si>
  <si>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</si>
  <si>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</si>
  <si>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</si>
  <si>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</si>
  <si>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</si>
  <si>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</si>
  <si>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</si>
  <si>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</si>
  <si>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</si>
  <si>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</si>
  <si>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</si>
  <si>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</si>
  <si>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</si>
  <si>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</si>
  <si>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</si>
  <si>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</si>
  <si>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</si>
  <si>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</si>
  <si>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</si>
  <si>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</si>
  <si>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</si>
  <si>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</si>
  <si>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</si>
  <si>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</si>
  <si>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</si>
  <si>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</si>
  <si>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</si>
  <si>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</si>
  <si>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</si>
  <si>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</si>
  <si>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</si>
  <si>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</si>
  <si>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</si>
  <si>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</si>
  <si>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</si>
  <si>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</si>
  <si>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</si>
  <si>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</si>
  <si>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</si>
  <si>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</si>
  <si>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</si>
  <si>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</si>
  <si>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</si>
  <si>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</si>
  <si>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</si>
  <si>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</si>
  <si>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</si>
  <si>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</si>
  <si>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</si>
  <si>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</si>
  <si>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</si>
  <si>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</si>
  <si>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</si>
  <si>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</si>
  <si>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</si>
  <si>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</si>
  <si>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</si>
  <si>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</si>
  <si>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</si>
  <si>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</si>
  <si>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</si>
  <si>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</si>
  <si>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</si>
  <si>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</si>
  <si>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</si>
  <si>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</si>
  <si>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</si>
  <si>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</si>
  <si>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</si>
  <si>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</si>
  <si>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</si>
  <si>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</si>
  <si>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</si>
  <si>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</si>
  <si>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</si>
  <si>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</si>
  <si>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</si>
  <si>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</si>
  <si>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</si>
  <si>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</si>
  <si>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</si>
  <si>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</si>
  <si>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</si>
  <si>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</si>
  <si>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</si>
  <si>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</si>
  <si>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</si>
  <si>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</si>
  <si>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</si>
  <si>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</si>
  <si>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</si>
  <si>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</si>
  <si>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</si>
  <si>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</si>
  <si>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</si>
  <si>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</si>
  <si>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</si>
  <si>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</si>
  <si>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</si>
  <si>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</si>
  <si>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</si>
  <si>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</si>
  <si>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</si>
  <si>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</si>
  <si>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</si>
  <si>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</si>
  <si>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</si>
  <si>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</si>
  <si>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</si>
  <si>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</si>
  <si>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</si>
  <si>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</si>
  <si>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</si>
  <si>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</si>
  <si>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</si>
  <si>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</si>
  <si>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</si>
  <si>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</si>
  <si>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</si>
  <si>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</si>
  <si>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</si>
  <si>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</si>
  <si>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</si>
  <si>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</si>
  <si>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</si>
  <si>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</si>
  <si>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</si>
  <si>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</si>
  <si>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</si>
  <si>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</si>
  <si>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</si>
  <si>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</si>
  <si>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</si>
  <si>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</si>
  <si>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</si>
  <si>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</si>
  <si>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</si>
  <si>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</si>
  <si>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</si>
  <si>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</si>
  <si>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</si>
  <si>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</si>
  <si>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</si>
  <si>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</si>
  <si>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</si>
  <si>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</si>
  <si>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</si>
  <si>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</si>
  <si>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</si>
  <si>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</si>
  <si>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</si>
  <si>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</si>
  <si>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</si>
  <si>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</si>
  <si>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</si>
  <si>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</si>
  <si>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</si>
  <si>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</si>
  <si>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</si>
  <si>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</si>
  <si>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</si>
  <si>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</si>
  <si>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</si>
  <si>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</si>
  <si>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</si>
  <si>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</si>
  <si>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</si>
  <si>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</si>
  <si>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</si>
  <si>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</si>
  <si>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</si>
  <si>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</si>
  <si>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</si>
  <si>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</si>
  <si>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</si>
  <si>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</si>
  <si>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</si>
  <si>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</si>
  <si>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</si>
  <si>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</si>
  <si>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</si>
  <si>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</si>
  <si>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</si>
  <si>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</si>
  <si>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</si>
  <si>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</si>
  <si>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</si>
  <si>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</si>
  <si>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</si>
  <si>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</si>
  <si>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</si>
  <si>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</si>
  <si>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</si>
  <si>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</si>
  <si>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</si>
  <si>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</si>
  <si>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</si>
  <si>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</si>
  <si>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</si>
  <si>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</si>
  <si>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</si>
  <si>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</si>
  <si>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</si>
  <si>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</si>
  <si>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</si>
  <si>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</si>
  <si>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</si>
  <si>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</si>
  <si>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</si>
  <si>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</si>
  <si>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</si>
  <si>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</si>
  <si>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</si>
  <si>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</si>
  <si>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</si>
  <si>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</si>
  <si>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</si>
  <si>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</si>
  <si>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</si>
  <si>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</si>
  <si>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</si>
  <si>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</si>
  <si>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</si>
  <si>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</si>
  <si>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</si>
  <si>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</si>
  <si>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</si>
  <si>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</si>
  <si>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</si>
  <si>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</si>
  <si>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</si>
  <si>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</si>
  <si>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</si>
  <si>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</si>
  <si>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</si>
  <si>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</si>
  <si>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</si>
  <si>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</si>
  <si>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</si>
  <si>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</si>
  <si>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</si>
  <si>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</si>
  <si>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</si>
  <si>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</si>
  <si>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</si>
  <si>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</si>
  <si>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</si>
  <si>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</si>
  <si>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</si>
  <si>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</si>
  <si>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</si>
  <si>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</si>
  <si>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</si>
  <si>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</si>
  <si>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</si>
  <si>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</si>
  <si>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</si>
  <si>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</si>
  <si>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</si>
  <si>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</si>
  <si>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</si>
  <si>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</si>
  <si>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</si>
  <si>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</si>
  <si>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</si>
  <si>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</si>
  <si>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</si>
  <si>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</si>
  <si>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</si>
  <si>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</si>
  <si>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</si>
  <si>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</si>
  <si>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</si>
  <si>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</si>
  <si>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</si>
  <si>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</si>
  <si>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</si>
  <si>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</si>
  <si>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</si>
  <si>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</si>
  <si>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</si>
  <si>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</si>
  <si>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</si>
  <si>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</si>
  <si>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</si>
  <si>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</si>
  <si>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</si>
  <si>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</si>
  <si>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</si>
  <si>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</si>
  <si>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</si>
  <si>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</si>
  <si>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</si>
  <si>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</si>
  <si>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</si>
  <si>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</si>
  <si>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</si>
  <si>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</si>
  <si>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</si>
  <si>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</si>
  <si>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</si>
  <si>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</si>
  <si>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</si>
  <si>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</si>
  <si>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</si>
  <si>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</si>
  <si>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</si>
  <si>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</si>
  <si>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</si>
  <si>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</si>
  <si>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</si>
  <si>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</si>
  <si>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</si>
  <si>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</si>
  <si>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</si>
  <si>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</si>
  <si>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</si>
  <si>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</si>
  <si>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</si>
  <si>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</si>
  <si>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</si>
  <si>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</si>
  <si>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</si>
  <si>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</si>
  <si>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</si>
  <si>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</si>
  <si>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</si>
  <si>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</si>
  <si>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</si>
  <si>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</si>
  <si>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</si>
  <si>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</si>
  <si>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</si>
  <si>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</si>
  <si>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</si>
  <si>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</si>
  <si>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</si>
  <si>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</si>
  <si>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</si>
  <si>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</si>
  <si>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</si>
  <si>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</si>
  <si>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</si>
  <si>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</si>
  <si>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</si>
  <si>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</si>
  <si>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</si>
  <si>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</si>
  <si>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</si>
  <si>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</si>
  <si>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</si>
  <si>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</si>
  <si>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</si>
  <si>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</si>
  <si>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</si>
  <si>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</si>
  <si>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</si>
  <si>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</si>
  <si>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</si>
  <si>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</si>
  <si>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</si>
  <si>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</si>
  <si>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</si>
  <si>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</si>
  <si>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</si>
  <si>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</si>
  <si>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</si>
  <si>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</si>
  <si>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</si>
  <si>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</si>
  <si>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</si>
  <si>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</si>
  <si>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</si>
  <si>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</si>
  <si>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</si>
  <si>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</si>
  <si>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</si>
  <si>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</si>
  <si>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</si>
  <si>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</si>
  <si>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</si>
  <si>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</si>
  <si>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</si>
  <si>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</si>
  <si>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</si>
  <si>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</si>
  <si>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</si>
  <si>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</si>
  <si>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</si>
  <si>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</si>
  <si>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</si>
  <si>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</si>
  <si>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</si>
  <si>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</si>
  <si>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</si>
  <si>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</si>
  <si>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</si>
  <si>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</si>
  <si>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</si>
  <si>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</si>
  <si>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</si>
  <si>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</si>
  <si>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</si>
  <si>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</si>
  <si>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</si>
  <si>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</si>
  <si>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</si>
  <si>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</si>
  <si>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</si>
  <si>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</si>
  <si>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</si>
  <si>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</si>
  <si>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</si>
  <si>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</si>
  <si>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</si>
  <si>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</si>
  <si>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</si>
  <si>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</si>
  <si>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</si>
  <si>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</si>
  <si>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</si>
  <si>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</si>
  <si>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</si>
  <si>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</si>
  <si>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</si>
  <si>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</si>
  <si>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</si>
  <si>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</si>
  <si>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</si>
  <si>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</si>
  <si>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</si>
  <si>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</si>
  <si>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</si>
  <si>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</si>
  <si>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</si>
  <si>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</si>
  <si>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</si>
  <si>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</si>
  <si>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</si>
  <si>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</si>
  <si>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</si>
  <si>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</si>
  <si>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</si>
  <si>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</si>
  <si>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</si>
  <si>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</si>
  <si>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</si>
  <si>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</si>
  <si>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</si>
  <si>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</si>
  <si>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</si>
  <si>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</si>
  <si>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</si>
  <si>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</si>
  <si>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</si>
  <si>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</si>
  <si>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</si>
  <si>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</si>
  <si>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</si>
  <si>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</si>
  <si>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</si>
  <si>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</si>
  <si>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</si>
  <si>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</si>
  <si>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</si>
  <si>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</si>
  <si>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</si>
  <si>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</si>
  <si>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</si>
  <si>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</si>
  <si>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</si>
  <si>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</si>
  <si>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</si>
  <si>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</si>
  <si>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</si>
  <si>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</si>
  <si>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</si>
  <si>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</si>
  <si>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</si>
  <si>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</si>
  <si>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</si>
  <si>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</si>
  <si>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</si>
  <si>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</si>
  <si>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</si>
  <si>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</si>
  <si>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</si>
  <si>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</si>
  <si>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</si>
  <si>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</si>
  <si>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</si>
  <si>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</si>
  <si>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</si>
  <si>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</si>
  <si>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</si>
  <si>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</si>
  <si>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</si>
  <si>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</si>
  <si>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</si>
  <si>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</si>
  <si>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</si>
  <si>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</si>
  <si>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</si>
  <si>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</si>
  <si>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</si>
  <si>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</si>
  <si>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</si>
  <si>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</si>
  <si>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</si>
  <si>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</si>
  <si>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</si>
  <si>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</si>
  <si>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</si>
  <si>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</si>
  <si>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</si>
  <si>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</si>
  <si>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</si>
  <si>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</si>
  <si>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</si>
  <si>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</si>
  <si>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</si>
  <si>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</si>
  <si>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</si>
  <si>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</si>
  <si>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</si>
  <si>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</si>
  <si>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</si>
  <si>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</si>
  <si>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</si>
  <si>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</si>
  <si>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</si>
  <si>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</si>
  <si>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</si>
  <si>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</si>
  <si>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</si>
  <si>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</si>
  <si>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</si>
  <si>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</si>
  <si>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</si>
  <si>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</si>
  <si>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</si>
  <si>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</si>
  <si>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</si>
  <si>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</si>
  <si>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</si>
  <si>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</si>
  <si>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</si>
  <si>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</si>
  <si>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</si>
  <si>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</si>
  <si>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</si>
  <si>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</si>
  <si>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</si>
  <si>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</si>
  <si>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</si>
  <si>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</si>
  <si>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</si>
  <si>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</si>
  <si>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</si>
  <si>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</si>
  <si>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</si>
  <si>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</si>
  <si>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</si>
  <si>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</si>
  <si>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</si>
  <si>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</si>
  <si>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</si>
  <si>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</si>
  <si>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</si>
  <si>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</si>
  <si>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</si>
  <si>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</si>
  <si>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</si>
  <si>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</si>
  <si>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</si>
  <si>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</si>
  <si>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</si>
  <si>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</si>
  <si>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</si>
  <si>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</si>
  <si>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</si>
  <si>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</si>
  <si>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</si>
  <si>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</si>
  <si>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</si>
  <si>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</si>
  <si>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</si>
  <si>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</si>
  <si>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</si>
  <si>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</si>
  <si>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</si>
  <si>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</si>
  <si>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</si>
  <si>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</si>
  <si>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</si>
  <si>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</si>
  <si>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</si>
  <si>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</si>
  <si>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</si>
  <si>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</si>
  <si>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</si>
  <si>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</si>
  <si>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</si>
  <si>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</si>
  <si>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</si>
  <si>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</si>
  <si>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</si>
  <si>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</si>
  <si>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</si>
  <si>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</si>
  <si>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</si>
  <si>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</si>
  <si>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</si>
  <si>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</si>
  <si>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</si>
  <si>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</si>
  <si>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</si>
  <si>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</si>
  <si>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</si>
  <si>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</si>
  <si>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</si>
  <si>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</si>
  <si>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</si>
  <si>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</si>
  <si>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</si>
  <si>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</si>
  <si>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</si>
  <si>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</si>
  <si>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</si>
  <si>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</si>
  <si>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</si>
  <si>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</si>
  <si>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</si>
  <si>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</si>
  <si>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</si>
  <si>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</si>
  <si>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</si>
  <si>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</si>
  <si>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</si>
  <si>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</si>
  <si>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Mean</t>
  </si>
  <si>
    <t>Median</t>
  </si>
  <si>
    <t>Mode</t>
  </si>
  <si>
    <t>Kurtosis</t>
  </si>
  <si>
    <t>Skewness</t>
  </si>
  <si>
    <t>Range</t>
  </si>
  <si>
    <t>Minimum</t>
  </si>
  <si>
    <t>Maximum</t>
  </si>
  <si>
    <t>Sum</t>
  </si>
  <si>
    <t>Count</t>
  </si>
  <si>
    <t>Cell</t>
  </si>
  <si>
    <t>Label</t>
  </si>
  <si>
    <t>Formula</t>
  </si>
  <si>
    <t>A1</t>
  </si>
  <si>
    <t>Column</t>
  </si>
  <si>
    <t xml:space="preserve">A2 </t>
  </si>
  <si>
    <t>Q1</t>
  </si>
  <si>
    <t>A3</t>
  </si>
  <si>
    <t>Q3</t>
  </si>
  <si>
    <t>A4</t>
  </si>
  <si>
    <t>IQR</t>
  </si>
  <si>
    <t>A5</t>
  </si>
  <si>
    <t>Lower Bound</t>
  </si>
  <si>
    <t>A6</t>
  </si>
  <si>
    <t>Upper Bound</t>
  </si>
  <si>
    <t>A7</t>
  </si>
  <si>
    <t>Outliners Found</t>
  </si>
  <si>
    <t>Row Labels</t>
  </si>
  <si>
    <t>Grand Total</t>
  </si>
  <si>
    <t>Count of OrderID</t>
  </si>
  <si>
    <t>Sum of TotalPrice</t>
  </si>
  <si>
    <t>Standard Err</t>
  </si>
  <si>
    <t>Standard Dev.</t>
  </si>
  <si>
    <t>Sample Var.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</si>
</sst>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;[Red]0.00"/>
    <numFmt numFmtId="166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4" xfId="0" applyFont="1" applyFill="1" applyBorder="1" applyAlignment="1">
      <alignment horizontal="center" vertical="top"/>
    </xf>
    <xf numFmtId="164" fontId="1" fillId="2" borderId="4" xfId="0" applyNumberFormat="1" applyFont="1" applyFill="1" applyBorder="1" applyAlignment="1">
      <alignment horizontal="center" vertical="top"/>
    </xf>
    <xf numFmtId="166" fontId="1" fillId="2" borderId="4" xfId="0" applyNumberFormat="1" applyFont="1" applyFill="1" applyBorder="1" applyAlignment="1">
      <alignment horizontal="center" vertical="top"/>
    </xf>
    <xf numFmtId="166" fontId="0" fillId="0" borderId="0" xfId="0" applyNumberFormat="1"/>
    <xf numFmtId="0" fontId="0" fillId="3" borderId="0" xfId="0" applyFill="1"/>
    <xf numFmtId="0" fontId="0" fillId="3" borderId="2" xfId="0" applyFill="1" applyBorder="1"/>
    <xf numFmtId="0" fontId="3" fillId="3" borderId="3" xfId="0" applyFont="1" applyFill="1" applyBorder="1" applyAlignment="1">
      <alignment horizontal="center"/>
    </xf>
    <xf numFmtId="2" fontId="0" fillId="3" borderId="0" xfId="0" applyNumberFormat="1" applyFill="1"/>
    <xf numFmtId="2" fontId="0" fillId="3" borderId="2" xfId="0" applyNumberFormat="1" applyFill="1" applyBorder="1"/>
    <xf numFmtId="0" fontId="0" fillId="4" borderId="0" xfId="0" applyFill="1"/>
    <xf numFmtId="2" fontId="0" fillId="4" borderId="0" xfId="0" applyNumberFormat="1" applyFill="1"/>
    <xf numFmtId="0" fontId="0" fillId="4" borderId="2" xfId="0" applyFill="1" applyBorder="1"/>
    <xf numFmtId="2" fontId="0" fillId="4" borderId="2" xfId="0" applyNumberFormat="1" applyFill="1" applyBorder="1"/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5" borderId="0" xfId="0" applyFill="1"/>
    <xf numFmtId="2" fontId="0" fillId="5" borderId="0" xfId="0" applyNumberFormat="1" applyFill="1"/>
    <xf numFmtId="0" fontId="0" fillId="5" borderId="2" xfId="0" applyFill="1" applyBorder="1"/>
    <xf numFmtId="2" fontId="0" fillId="5" borderId="2" xfId="0" applyNumberFormat="1" applyFill="1" applyBorder="1"/>
    <xf numFmtId="0" fontId="3" fillId="6" borderId="3" xfId="0" applyFont="1" applyFill="1" applyBorder="1" applyAlignment="1">
      <alignment horizontal="center"/>
    </xf>
    <xf numFmtId="0" fontId="0" fillId="6" borderId="0" xfId="0" applyFill="1"/>
    <xf numFmtId="2" fontId="0" fillId="6" borderId="0" xfId="0" applyNumberFormat="1" applyFill="1"/>
    <xf numFmtId="0" fontId="0" fillId="6" borderId="2" xfId="0" applyFill="1" applyBorder="1"/>
    <xf numFmtId="2" fontId="0" fillId="6" borderId="2" xfId="0" applyNumberFormat="1" applyFill="1" applyBorder="1"/>
    <xf numFmtId="0" fontId="0" fillId="7" borderId="0" xfId="0" applyFill="1"/>
  </cellXfs>
  <cellStyles count="1">
    <cellStyle name="Normal" xfId="0" builtinId="0"/>
  </cellStyles>
  <dxfs count="6">
    <dxf>
      <numFmt numFmtId="166" formatCode="&quot;$&quot;#,##0.00"/>
    </dxf>
    <dxf>
      <numFmt numFmtId="166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Analytics_Cleaned.xlsx]Pivot!PivotTable1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Pivot!$A$3:$A$10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Pivot!$B$3:$B$10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E-455D-81EA-05E9297A2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53035744"/>
        <c:axId val="132973776"/>
        <c:axId val="0"/>
      </c:bar3DChart>
      <c:catAx>
        <c:axId val="35303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3776"/>
        <c:crosses val="autoZero"/>
        <c:auto val="1"/>
        <c:lblAlgn val="ctr"/>
        <c:lblOffset val="100"/>
        <c:noMultiLvlLbl val="0"/>
      </c:catAx>
      <c:valAx>
        <c:axId val="1329737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Analytics_Cleaned.xlsx]Pivot!PivotTable2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Pivot!$A$14:$A$19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Pivot!$B$14:$B$19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2-4076-83F9-8390B27B57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25626408"/>
        <c:axId val="418102616"/>
        <c:axId val="0"/>
      </c:bar3DChart>
      <c:catAx>
        <c:axId val="52562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02616"/>
        <c:crosses val="autoZero"/>
        <c:auto val="1"/>
        <c:lblAlgn val="ctr"/>
        <c:lblOffset val="100"/>
        <c:noMultiLvlLbl val="0"/>
      </c:catAx>
      <c:valAx>
        <c:axId val="418102616"/>
        <c:scaling>
          <c:orientation val="minMax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5256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Analytics_Cleaned.xlsx]Pivot!PivotTable3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COUNT BY 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365069991251093"/>
          <c:y val="0.2061574074074074"/>
          <c:w val="0.81068263342082236"/>
          <c:h val="0.70959135316418775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Pivot!$E$3:$E$8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Pivot!$F$3:$F$8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6-44A6-8BDF-192E64E5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0196816"/>
        <c:axId val="530193576"/>
        <c:axId val="0"/>
      </c:bar3DChart>
      <c:catAx>
        <c:axId val="53019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93576"/>
        <c:crosses val="autoZero"/>
        <c:auto val="1"/>
        <c:lblAlgn val="ctr"/>
        <c:lblOffset val="100"/>
        <c:noMultiLvlLbl val="0"/>
      </c:catAx>
      <c:valAx>
        <c:axId val="530193576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9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Analytics_Cleaned.xlsx]Pivot!PivotTable4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 OF TOTAL PRICE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324781277340332"/>
          <c:y val="0.29583333333333334"/>
          <c:w val="0.78819663167104115"/>
          <c:h val="0.59676727909011362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Pivot!$F$13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Pivot!$E$14:$E$19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Pivot!$F$14:$F$19</c:f>
              <c:numCache>
                <c:formatCode>0.00;[Red]0.00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D-442D-A68B-3E24239E42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18859392"/>
        <c:axId val="518868032"/>
        <c:axId val="0"/>
      </c:bar3DChart>
      <c:catAx>
        <c:axId val="51885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68032"/>
        <c:crosses val="autoZero"/>
        <c:auto val="1"/>
        <c:lblAlgn val="ctr"/>
        <c:lblOffset val="100"/>
        <c:noMultiLvlLbl val="0"/>
      </c:catAx>
      <c:valAx>
        <c:axId val="51886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;[Red]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59392"/>
        <c:crosses val="autoZero"/>
        <c:crossBetween val="between"/>
      </c:valAx>
      <c:spPr>
        <a:solidFill>
          <a:schemeClr val="bg2">
            <a:alpha val="98000"/>
          </a:schemeClr>
        </a:solidFill>
        <a:ln>
          <a:solidFill>
            <a:schemeClr val="accent1">
              <a:alpha val="86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3175" cap="flat" cmpd="sng" algn="ctr">
      <a:solidFill>
        <a:schemeClr val="tx1">
          <a:alpha val="7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26988</xdr:colOff>
      <xdr:row>1</xdr:row>
      <xdr:rowOff>7937</xdr:rowOff>
    </xdr:from>
    <xdr:to>
      <xdr:col>18</xdr:col>
      <xdr:colOff>331787</xdr:colOff>
      <xdr:row>15</xdr:row>
      <xdr:rowOff>84137</xdr:rowOff>
    </xdr:to>
    <xdr:graphicFrame macro="">
      <xdr:nvGraphicFramePr>
        <xdr:cNvPr id="2" name="Chart 1" title="Sales Count by Product">
          <a:extLst>
            <a:ext uri="{FF2B5EF4-FFF2-40B4-BE49-F238E27FC236}">
              <a16:creationId xmlns:a16="http://schemas.microsoft.com/office/drawing/2014/main" id="{E72778A9-2F1E-799C-3EA0-270D1CEA7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125412</xdr:colOff>
      <xdr:row>21</xdr:row>
      <xdr:rowOff>161924</xdr:rowOff>
    </xdr:from>
    <xdr:to>
      <xdr:col>17</xdr:col>
      <xdr:colOff>430212</xdr:colOff>
      <xdr:row>36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AAFE7B-31E7-33C5-BC38-AE634E1F0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388938</xdr:colOff>
      <xdr:row>1</xdr:row>
      <xdr:rowOff>66674</xdr:rowOff>
    </xdr:from>
    <xdr:to>
      <xdr:col>31</xdr:col>
      <xdr:colOff>82550</xdr:colOff>
      <xdr:row>15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1C8D02-E504-5C34-8997-76868C539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369888</xdr:colOff>
      <xdr:row>20</xdr:row>
      <xdr:rowOff>65088</xdr:rowOff>
    </xdr:from>
    <xdr:to>
      <xdr:col>31</xdr:col>
      <xdr:colOff>63500</xdr:colOff>
      <xdr:row>34</xdr:row>
      <xdr:rowOff>141288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404D9-B34E-AA46-58F0-B2E2B18D9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2.345287847224" createdVersion="8" refreshedVersion="8" minRefreshableVersion="3" recordCount="1200" xr:uid="{BFC9A96C-544B-4A5B-98B4-F887A92EAF89}">
  <cacheSource type="worksheet">
    <worksheetSource ref="A1:N1201" sheet="Working_Data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s v="NO COUPON"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s v="NO COUPON"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s v="NO COUPON"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s v="NO COUPON"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s v="NO COUPON"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s v="NO COUPON"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s v="NO COUPON"/>
    <x v="3"/>
    <n v="1500.24"/>
  </r>
  <r>
    <s v="ORD200032"/>
    <d v="2023-05-01T00:00:00"/>
    <s v="C12388"/>
    <x v="2"/>
    <n v="5"/>
    <n v="536.72"/>
    <s v="830 Main St"/>
    <x v="4"/>
    <x v="3"/>
    <s v="TRK99261395"/>
    <n v="10"/>
    <s v="NO COUPON"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s v="NO COUPON"/>
    <x v="0"/>
    <n v="303.32"/>
  </r>
  <r>
    <s v="ORD200043"/>
    <d v="2023-12-14T00:00:00"/>
    <s v="C60572"/>
    <x v="3"/>
    <n v="3"/>
    <n v="499.21"/>
    <s v="871 Main St"/>
    <x v="1"/>
    <x v="1"/>
    <s v="TRK20351666"/>
    <n v="8"/>
    <s v="NO COUPON"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s v="NO COUPON"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s v="NO COUPON"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s v="NO COUPON"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s v="NO COUPON"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s v="NO COUPON"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s v="NO COUPON"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s v="NO COUPON"/>
    <x v="3"/>
    <n v="1733.8"/>
  </r>
  <r>
    <s v="ORD200074"/>
    <d v="2023-06-24T00:00:00"/>
    <s v="C25382"/>
    <x v="1"/>
    <n v="5"/>
    <n v="90.87"/>
    <s v="622 Main St"/>
    <x v="4"/>
    <x v="4"/>
    <s v="TRK64691287"/>
    <n v="5"/>
    <s v="NO COUPON"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s v="NO COUPON"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s v="NO COUPON"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s v="NO COUPON"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s v="NO COUPON"/>
    <x v="1"/>
    <n v="470.04"/>
  </r>
  <r>
    <s v="ORD200096"/>
    <d v="2024-06-01T00:00:00"/>
    <s v="C93007"/>
    <x v="1"/>
    <n v="2"/>
    <n v="232.83"/>
    <s v="103 Main St"/>
    <x v="3"/>
    <x v="3"/>
    <s v="TRK85696091"/>
    <n v="7"/>
    <s v="NO COUPON"/>
    <x v="0"/>
    <n v="465.66"/>
  </r>
  <r>
    <s v="ORD200097"/>
    <d v="2025-01-21T00:00:00"/>
    <s v="C15624"/>
    <x v="2"/>
    <n v="5"/>
    <n v="619.52"/>
    <s v="922 Main St"/>
    <x v="0"/>
    <x v="4"/>
    <s v="TRK40621141"/>
    <n v="9"/>
    <s v="NO COUPON"/>
    <x v="2"/>
    <n v="3097.6"/>
  </r>
  <r>
    <s v="ORD200098"/>
    <d v="2023-01-14T00:00:00"/>
    <s v="C70921"/>
    <x v="4"/>
    <n v="2"/>
    <n v="228.54"/>
    <s v="533 Main St"/>
    <x v="0"/>
    <x v="4"/>
    <s v="TRK54983109"/>
    <n v="3"/>
    <s v="NO COUPON"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s v="NO COUPON"/>
    <x v="3"/>
    <n v="1994.37"/>
  </r>
  <r>
    <s v="ORD200101"/>
    <d v="2023-11-25T00:00:00"/>
    <s v="C15283"/>
    <x v="4"/>
    <n v="1"/>
    <n v="381.02"/>
    <s v="152 Main St"/>
    <x v="4"/>
    <x v="0"/>
    <s v="TRK19286291"/>
    <n v="6"/>
    <s v="NO COUPON"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s v="NO COUPON"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s v="NO COUPON"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s v="NO COUPON"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s v="NO COUPON"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s v="NO COUPON"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s v="NO COUPON"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s v="NO COUPON"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s v="NO COUPON"/>
    <x v="1"/>
    <n v="1600.28"/>
  </r>
  <r>
    <s v="ORD200144"/>
    <d v="2023-08-04T00:00:00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s v="NO COUPON"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s v="NO COUPON"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s v="NO COUPON"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s v="NO COUPON"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s v="NO COUPON"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s v="NO COUPON"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s v="NO COUPON"/>
    <x v="2"/>
    <n v="1619.73"/>
  </r>
  <r>
    <s v="ORD200180"/>
    <d v="2023-03-18T00:00:00"/>
    <s v="C87216"/>
    <x v="2"/>
    <n v="5"/>
    <n v="316.07"/>
    <s v="970 Main St"/>
    <x v="4"/>
    <x v="2"/>
    <s v="TRK18713727"/>
    <n v="10"/>
    <s v="NO COUPON"/>
    <x v="4"/>
    <n v="1580.35"/>
  </r>
  <r>
    <s v="ORD200181"/>
    <d v="2024-08-31T00:00:00"/>
    <s v="C38966"/>
    <x v="4"/>
    <n v="5"/>
    <n v="404.39"/>
    <s v="247 Main St"/>
    <x v="1"/>
    <x v="0"/>
    <s v="TRK17205146"/>
    <n v="10"/>
    <s v="NO COUPON"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s v="NO COUPON"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s v="NO COUPON"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s v="NO COUPON"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s v="NO COUPON"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s v="NO COUPON"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s v="NO COUPON"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s v="NO COUPON"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s v="NO COUPON"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s v="NO COUPON"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s v="NO COUPON"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s v="NO COUPON"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s v="NO COUPON"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s v="NO COUPON"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s v="NO COUPON"/>
    <x v="3"/>
    <n v="65.95"/>
  </r>
  <r>
    <s v="ORD200293"/>
    <d v="2023-02-16T00:00:00"/>
    <s v="C33220"/>
    <x v="2"/>
    <n v="4"/>
    <n v="463.04"/>
    <s v="564 Main St"/>
    <x v="3"/>
    <x v="2"/>
    <s v="TRK40450219"/>
    <n v="9"/>
    <s v="NO COUPON"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s v="NO COUPON"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s v="NO COUPON"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s v="NO COUPON"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s v="NO COUPON"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d v="2023-06-29T00:00:00"/>
    <s v="C53545"/>
    <x v="6"/>
    <n v="3"/>
    <n v="361.39"/>
    <s v="665 Main St"/>
    <x v="2"/>
    <x v="0"/>
    <s v="TRK61123177"/>
    <n v="8"/>
    <s v="NO COUPON"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s v="NO COUPON"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s v="NO COUPON"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s v="NO COUPON"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s v="NO COUPON"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s v="NO COUPON"/>
    <x v="0"/>
    <n v="108.82"/>
  </r>
  <r>
    <s v="ORD200351"/>
    <d v="2025-02-15T00:00:00"/>
    <s v="C94248"/>
    <x v="5"/>
    <n v="1"/>
    <n v="64.66"/>
    <s v="494 Main St"/>
    <x v="0"/>
    <x v="3"/>
    <s v="TRK89406816"/>
    <n v="4"/>
    <s v="NO COUPON"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s v="NO COUPON"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s v="NO COUPON"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s v="NO COUPON"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s v="NO COUPON"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s v="NO COUPON"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s v="NO COUPON"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s v="NO COUPON"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s v="NO COUPON"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s v="NO COUPON"/>
    <x v="2"/>
    <n v="1036.46"/>
  </r>
  <r>
    <s v="ORD200411"/>
    <d v="2024-06-19T00:00:00"/>
    <s v="C66567"/>
    <x v="6"/>
    <n v="2"/>
    <n v="39.51"/>
    <s v="981 Main St"/>
    <x v="1"/>
    <x v="0"/>
    <s v="TRK21174822"/>
    <n v="5"/>
    <s v="NO COUPON"/>
    <x v="3"/>
    <n v="79.02"/>
  </r>
  <r>
    <s v="ORD200412"/>
    <d v="2025-04-11T00:00:00"/>
    <s v="C42451"/>
    <x v="2"/>
    <n v="5"/>
    <n v="133.01"/>
    <s v="246 Main St"/>
    <x v="2"/>
    <x v="2"/>
    <s v="TRK31313343"/>
    <n v="10"/>
    <s v="NO COUPON"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s v="NO COUPON"/>
    <x v="4"/>
    <n v="277.05"/>
  </r>
  <r>
    <s v="ORD200418"/>
    <d v="2023-01-11T00:00:00"/>
    <s v="C74169"/>
    <x v="4"/>
    <n v="1"/>
    <n v="310.93"/>
    <s v="862 Main St"/>
    <x v="1"/>
    <x v="1"/>
    <s v="TRK66144809"/>
    <n v="3"/>
    <s v="NO COUPON"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s v="NO COUPON"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s v="NO COUPON"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s v="NO COUPON"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s v="NO COUPON"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s v="NO COUPON"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s v="NO COUPON"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s v="NO COUPON"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s v="NO COUPON"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s v="NO COUPON"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s v="NO COUPON"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s v="NO COUPON"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s v="NO COUPON"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s v="NO COUPON"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s v="NO COUPON"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s v="NO COUPON"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s v="NO COUPON"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s v="NO COUPON"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s v="NO COUPON"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s v="NO COUPON"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s v="NO COUPON"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s v="NO COUPON"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s v="NO COUPON"/>
    <x v="4"/>
    <n v="357.64"/>
  </r>
  <r>
    <s v="ORD200531"/>
    <d v="2024-07-02T00:00:00"/>
    <s v="C64502"/>
    <x v="6"/>
    <n v="5"/>
    <n v="320.01"/>
    <s v="722 Main St"/>
    <x v="3"/>
    <x v="3"/>
    <s v="TRK14914388"/>
    <n v="6"/>
    <s v="NO COUPON"/>
    <x v="1"/>
    <n v="1600.05"/>
  </r>
  <r>
    <s v="ORD200532"/>
    <d v="2025-05-03T00:00:00"/>
    <s v="C47365"/>
    <x v="5"/>
    <n v="2"/>
    <n v="41"/>
    <s v="369 Main St"/>
    <x v="1"/>
    <x v="3"/>
    <s v="TRK42207882"/>
    <n v="7"/>
    <s v="NO COUPON"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s v="NO COUPON"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s v="NO COUPON"/>
    <x v="1"/>
    <n v="3243.25"/>
  </r>
  <r>
    <s v="ORD200541"/>
    <d v="2023-08-07T00:00:00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s v="NO COUPON"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s v="NO COUPON"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s v="NO COUPON"/>
    <x v="2"/>
    <n v="2355.4"/>
  </r>
  <r>
    <s v="ORD200561"/>
    <d v="2023-01-31T00:00:00"/>
    <s v="C96822"/>
    <x v="4"/>
    <n v="2"/>
    <n v="494.78"/>
    <s v="198 Main St"/>
    <x v="1"/>
    <x v="0"/>
    <s v="TRK89180077"/>
    <n v="2"/>
    <s v="NO COUPON"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s v="NO COUPON"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s v="NO COUPON"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s v="NO COUPON"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s v="NO COUPON"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s v="NO COUPON"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s v="NO COUPON"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s v="NO COUPON"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s v="NO COUPON"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s v="NO COUPON"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s v="NO COUPON"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s v="NO COUPON"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s v="NO COUPON"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s v="NO COUPON"/>
    <x v="1"/>
    <n v="553.41"/>
  </r>
  <r>
    <s v="ORD200618"/>
    <d v="2024-09-03T00:00:00"/>
    <s v="C50565"/>
    <x v="2"/>
    <n v="1"/>
    <n v="411.34"/>
    <s v="399 Main St"/>
    <x v="0"/>
    <x v="2"/>
    <s v="TRK97981418"/>
    <n v="5"/>
    <s v="NO COUPON"/>
    <x v="0"/>
    <n v="411.34"/>
  </r>
  <r>
    <s v="ORD200619"/>
    <d v="2024-07-16T00:00:00"/>
    <s v="C38845"/>
    <x v="5"/>
    <n v="1"/>
    <n v="532.89"/>
    <s v="764 Main St"/>
    <x v="3"/>
    <x v="4"/>
    <s v="TRK47637374"/>
    <n v="2"/>
    <s v="NO COUPON"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s v="NO COUPON"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s v="NO COUPON"/>
    <x v="1"/>
    <n v="59.19"/>
  </r>
  <r>
    <s v="ORD200630"/>
    <d v="2023-06-23T00:00:00"/>
    <s v="C51481"/>
    <x v="0"/>
    <n v="5"/>
    <n v="248.84"/>
    <s v="140 Main St"/>
    <x v="0"/>
    <x v="1"/>
    <s v="TRK33437701"/>
    <n v="10"/>
    <s v="NO COUPON"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s v="NO COUPON"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s v="NO COUPON"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s v="NO COUPON"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s v="NO COUPON"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s v="NO COUPON"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s v="NO COUPON"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s v="NO COUPON"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s v="NO COUPON"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s v="NO COUPON"/>
    <x v="3"/>
    <n v="889.68"/>
  </r>
  <r>
    <s v="ORD200690"/>
    <d v="2024-07-12T00:00:00"/>
    <s v="C29318"/>
    <x v="0"/>
    <n v="1"/>
    <n v="24.48"/>
    <s v="128 Main St"/>
    <x v="3"/>
    <x v="2"/>
    <s v="TRK88666721"/>
    <n v="1"/>
    <s v="NO COUPON"/>
    <x v="0"/>
    <n v="24.48"/>
  </r>
  <r>
    <s v="ORD200691"/>
    <d v="2024-11-24T00:00:00"/>
    <s v="C36137"/>
    <x v="5"/>
    <n v="3"/>
    <n v="239.08"/>
    <s v="396 Main St"/>
    <x v="4"/>
    <x v="0"/>
    <s v="TRK57376416"/>
    <n v="8"/>
    <s v="NO COUPON"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s v="NO COUPON"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s v="NO COUPON"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s v="NO COUPON"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s v="NO COUPON"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s v="NO COUPON"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s v="NO COUPON"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s v="NO COUPON"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s v="NO COUPON"/>
    <x v="4"/>
    <n v="754.94"/>
  </r>
  <r>
    <s v="ORD200741"/>
    <d v="2025-01-23T00:00:00"/>
    <s v="C99683"/>
    <x v="0"/>
    <n v="5"/>
    <n v="332.64"/>
    <s v="945 Main St"/>
    <x v="3"/>
    <x v="3"/>
    <s v="TRK87305883"/>
    <n v="10"/>
    <s v="NO COUPON"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s v="NO COUPON"/>
    <x v="2"/>
    <n v="1010.13"/>
  </r>
  <r>
    <s v="ORD200756"/>
    <d v="2024-06-27T00:00:00"/>
    <s v="C14080"/>
    <x v="1"/>
    <n v="1"/>
    <n v="283.69"/>
    <s v="202 Main St"/>
    <x v="3"/>
    <x v="0"/>
    <s v="TRK93163682"/>
    <n v="6"/>
    <s v="NO COUPON"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s v="NO COUPON"/>
    <x v="4"/>
    <n v="39.56"/>
  </r>
  <r>
    <s v="ORD200761"/>
    <d v="2023-06-02T00:00:00"/>
    <s v="C37235"/>
    <x v="6"/>
    <n v="4"/>
    <n v="37.76"/>
    <s v="217 Main St"/>
    <x v="0"/>
    <x v="3"/>
    <s v="TRK67789367"/>
    <n v="7"/>
    <s v="NO COUPON"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s v="NO COUPON"/>
    <x v="2"/>
    <n v="2714.2"/>
  </r>
  <r>
    <s v="ORD200770"/>
    <d v="2024-02-11T00:00:00"/>
    <s v="C72166"/>
    <x v="6"/>
    <n v="1"/>
    <n v="314.38"/>
    <s v="227 Main St"/>
    <x v="1"/>
    <x v="2"/>
    <s v="TRK67733444"/>
    <n v="6"/>
    <s v="NO COUPON"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s v="NO COUPON"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s v="NO COUPON"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s v="NO COUPON"/>
    <x v="1"/>
    <n v="226.55"/>
  </r>
  <r>
    <s v="ORD200787"/>
    <d v="2024-03-17T00:00:00"/>
    <s v="C18167"/>
    <x v="6"/>
    <n v="4"/>
    <n v="221.96"/>
    <s v="193 Main St"/>
    <x v="4"/>
    <x v="3"/>
    <s v="TRK36841089"/>
    <n v="7"/>
    <s v="NO COUPON"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s v="NO COUPON"/>
    <x v="4"/>
    <n v="1671.56"/>
  </r>
  <r>
    <s v="ORD200791"/>
    <d v="2024-01-13T00:00:00"/>
    <s v="C49710"/>
    <x v="3"/>
    <n v="4"/>
    <n v="409.28"/>
    <s v="956 Main St"/>
    <x v="4"/>
    <x v="4"/>
    <s v="TRK92591237"/>
    <n v="8"/>
    <s v="NO COUPON"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s v="NO COUPON"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s v="NO COUPON"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s v="NO COUPON"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s v="NO COUPON"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s v="NO COUPON"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s v="NO COUPON"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s v="NO COUPON"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s v="NO COUPON"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s v="NO COUPON"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s v="NO COUPON"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d v="2023-08-20T00:00:00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s v="NO COUPON"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s v="NO COUPON"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s v="NO COUPON"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s v="NO COUPON"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s v="NO COUPON"/>
    <x v="4"/>
    <n v="460.13"/>
  </r>
  <r>
    <s v="ORD200887"/>
    <d v="2024-12-19T00:00:00"/>
    <s v="C67932"/>
    <x v="3"/>
    <n v="3"/>
    <n v="171.66"/>
    <s v="857 Main St"/>
    <x v="0"/>
    <x v="3"/>
    <s v="TRK88547534"/>
    <n v="7"/>
    <s v="NO COUPON"/>
    <x v="4"/>
    <n v="514.98"/>
  </r>
  <r>
    <s v="ORD200888"/>
    <d v="2024-07-23T00:00:00"/>
    <s v="C14427"/>
    <x v="5"/>
    <n v="2"/>
    <n v="266.95"/>
    <s v="833 Main St"/>
    <x v="2"/>
    <x v="4"/>
    <s v="TRK58024529"/>
    <n v="3"/>
    <s v="NO COUPON"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s v="NO COUPON"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s v="NO COUPON"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s v="NO COUPON"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s v="NO COUPON"/>
    <x v="3"/>
    <n v="721"/>
  </r>
  <r>
    <s v="ORD200903"/>
    <d v="2023-05-17T00:00:00"/>
    <s v="C80868"/>
    <x v="0"/>
    <n v="3"/>
    <n v="473.49"/>
    <s v="205 Main St"/>
    <x v="2"/>
    <x v="4"/>
    <s v="TRK56186636"/>
    <n v="7"/>
    <s v="NO COUPON"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s v="NO COUPON"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s v="NO COUPON"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s v="NO COUPON"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s v="NO COUPON"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s v="NO COUPON"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s v="NO COUPON"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s v="NO COUPON"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s v="NO COUPON"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s v="NO COUPON"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s v="NO COUPON"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s v="NO COUPON"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s v="NO COUPON"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s v="NO COUPON"/>
    <x v="4"/>
    <n v="956.72"/>
  </r>
  <r>
    <s v="ORD201012"/>
    <d v="2024-12-03T00:00:00"/>
    <s v="C84570"/>
    <x v="4"/>
    <n v="4"/>
    <n v="30.05"/>
    <s v="301 Main St"/>
    <x v="1"/>
    <x v="2"/>
    <s v="TRK12551882"/>
    <n v="6"/>
    <s v="NO COUPON"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s v="NO COUPON"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s v="NO COUPON"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s v="NO COUPON"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s v="NO COUPON"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s v="NO COUPON"/>
    <x v="0"/>
    <n v="1959.3"/>
  </r>
  <r>
    <s v="ORD201050"/>
    <d v="2023-08-20T00:00:00"/>
    <s v="C70659"/>
    <x v="5"/>
    <n v="5"/>
    <n v="69.7"/>
    <s v="722 Main St"/>
    <x v="1"/>
    <x v="2"/>
    <s v="TRK49663597"/>
    <n v="9"/>
    <s v="NO COUPON"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s v="NO COUPON"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s v="NO COUPON"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s v="NO COUPON"/>
    <x v="3"/>
    <n v="454.23"/>
  </r>
  <r>
    <s v="ORD201070"/>
    <d v="2024-09-06T00:00:00"/>
    <s v="C46873"/>
    <x v="6"/>
    <n v="4"/>
    <n v="491.29"/>
    <s v="496 Main St"/>
    <x v="0"/>
    <x v="4"/>
    <s v="TRK10926575"/>
    <n v="6"/>
    <s v="NO COUPON"/>
    <x v="2"/>
    <n v="1965.16"/>
  </r>
  <r>
    <s v="ORD201071"/>
    <d v="2025-06-24T00:00:00"/>
    <s v="C94037"/>
    <x v="1"/>
    <n v="2"/>
    <n v="255.14"/>
    <s v="216 Main St"/>
    <x v="4"/>
    <x v="0"/>
    <s v="TRK47536985"/>
    <n v="2"/>
    <s v="NO COUPON"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s v="NO COUPON"/>
    <x v="3"/>
    <n v="1448.24"/>
  </r>
  <r>
    <s v="ORD201074"/>
    <d v="2024-05-10T00:00:00"/>
    <s v="C21437"/>
    <x v="1"/>
    <n v="1"/>
    <n v="222.73"/>
    <s v="120 Main St"/>
    <x v="1"/>
    <x v="2"/>
    <s v="TRK81624772"/>
    <n v="4"/>
    <s v="NO COUPON"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s v="NO COUPON"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s v="NO COUPON"/>
    <x v="2"/>
    <n v="3170"/>
  </r>
  <r>
    <s v="ORD201080"/>
    <d v="2023-01-20T00:00:00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s v="NO COUPON"/>
    <x v="0"/>
    <n v="1199.48"/>
  </r>
  <r>
    <s v="ORD201090"/>
    <d v="2023-02-25T00:00:00"/>
    <s v="C61225"/>
    <x v="0"/>
    <n v="2"/>
    <n v="650.25"/>
    <s v="996 Main St"/>
    <x v="3"/>
    <x v="2"/>
    <s v="TRK37022954"/>
    <n v="6"/>
    <s v="NO COUPON"/>
    <x v="0"/>
    <n v="1300.5"/>
  </r>
  <r>
    <s v="ORD201091"/>
    <d v="2024-10-08T00:00:00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s v="NO COUPON"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s v="NO COUPON"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s v="NO COUPON"/>
    <x v="0"/>
    <n v="1388.68"/>
  </r>
  <r>
    <s v="ORD201103"/>
    <d v="2023-04-24T00:00:00"/>
    <s v="C90292"/>
    <x v="5"/>
    <n v="4"/>
    <n v="276.32"/>
    <s v="129 Main St"/>
    <x v="1"/>
    <x v="3"/>
    <s v="TRK26270357"/>
    <n v="5"/>
    <s v="NO COUPON"/>
    <x v="4"/>
    <n v="1105.28"/>
  </r>
  <r>
    <s v="ORD201104"/>
    <d v="2024-07-25T00:00:00"/>
    <s v="C17075"/>
    <x v="2"/>
    <n v="4"/>
    <n v="314.76"/>
    <s v="850 Main St"/>
    <x v="1"/>
    <x v="0"/>
    <s v="TRK63547510"/>
    <n v="8"/>
    <s v="NO COUPON"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s v="NO COUPON"/>
    <x v="4"/>
    <n v="839.96"/>
  </r>
  <r>
    <s v="ORD201114"/>
    <d v="2023-03-16T00:00:00"/>
    <s v="C55164"/>
    <x v="2"/>
    <n v="3"/>
    <n v="659.88"/>
    <s v="609 Main St"/>
    <x v="3"/>
    <x v="1"/>
    <s v="TRK79610967"/>
    <n v="3"/>
    <s v="NO COUPON"/>
    <x v="4"/>
    <n v="1979.64"/>
  </r>
  <r>
    <s v="ORD201115"/>
    <d v="2025-06-20T00:00:00"/>
    <s v="C70426"/>
    <x v="5"/>
    <n v="2"/>
    <n v="336.32"/>
    <s v="562 Main St"/>
    <x v="1"/>
    <x v="2"/>
    <s v="TRK89687816"/>
    <n v="3"/>
    <s v="NO COUPON"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s v="NO COUPON"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s v="NO COUPON"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s v="NO COUPON"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s v="NO COUPON"/>
    <x v="2"/>
    <n v="1495.98"/>
  </r>
  <r>
    <s v="ORD201142"/>
    <d v="2024-08-23T00:00:00"/>
    <s v="C23405"/>
    <x v="1"/>
    <n v="4"/>
    <n v="695.1"/>
    <s v="484 Main St"/>
    <x v="0"/>
    <x v="2"/>
    <s v="TRK83678708"/>
    <n v="8"/>
    <s v="NO COUPON"/>
    <x v="2"/>
    <n v="2780.4"/>
  </r>
  <r>
    <s v="ORD201143"/>
    <d v="2023-04-03T00:00:00"/>
    <s v="C41132"/>
    <x v="3"/>
    <n v="1"/>
    <n v="381.61"/>
    <s v="114 Main St"/>
    <x v="0"/>
    <x v="4"/>
    <s v="TRK51040137"/>
    <n v="5"/>
    <s v="NO COUPON"/>
    <x v="2"/>
    <n v="381.61"/>
  </r>
  <r>
    <s v="ORD201144"/>
    <d v="2023-02-16T00:00:00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s v="NO COUPON"/>
    <x v="4"/>
    <n v="1216.08"/>
  </r>
  <r>
    <s v="ORD201152"/>
    <d v="2023-11-09T00:00:00"/>
    <s v="C25162"/>
    <x v="2"/>
    <n v="2"/>
    <n v="344.18"/>
    <s v="533 Main St"/>
    <x v="2"/>
    <x v="0"/>
    <s v="TRK42183078"/>
    <n v="7"/>
    <s v="NO COUPON"/>
    <x v="1"/>
    <n v="688.36"/>
  </r>
  <r>
    <s v="ORD201153"/>
    <d v="2024-12-16T00:00:00"/>
    <s v="C98317"/>
    <x v="0"/>
    <n v="4"/>
    <n v="696.71"/>
    <s v="276 Main St"/>
    <x v="0"/>
    <x v="0"/>
    <s v="TRK37172138"/>
    <n v="4"/>
    <s v="NO COUPON"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s v="NO COUPON"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s v="NO COUPON"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s v="NO COUPON"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s v="NO COUPON"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s v="NO COUPON"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s v="NO COUPON"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s v="NO COUPON"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s v="NO COUPON"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B6085-610A-42D9-87EC-FF10B28DD33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13:F19" firstHeaderRow="1" firstDataRow="1" firstDataCol="1"/>
  <pivotFields count="14">
    <pivotField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12" baseItem="0" numFmtId="165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5BDCB-1983-487E-AA3B-26D832466A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:F8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309AC-B3FD-423C-B481-64EFB3C4FC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3:B19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07440-43AF-4C44-86FE-8AEB026D5F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B10" firstHeaderRow="1" firstDataRow="1" firstDataCol="1"/>
  <pivotFields count="14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B791D-CFD2-4D12-94AA-2A55B42F934E}" name="Table1" displayName="Table1" ref="A1:N1201" totalsRowShown="0" headerRowDxfId="2" headerRowBorderDxfId="4" tableBorderDxfId="5">
  <autoFilter ref="A1:N1201" xr:uid="{EC4B791D-CFD2-4D12-94AA-2A55B42F934E}"/>
  <tableColumns count="14">
    <tableColumn id="1" xr3:uid="{A0F5272F-30C3-434D-81BB-B65DEAC1193F}" name="OrderID"/>
    <tableColumn id="2" xr3:uid="{453BFD97-2D85-4C77-8400-B335401C3029}" name="Date" dataDxfId="3"/>
    <tableColumn id="3" xr3:uid="{BDD09A77-0345-4092-A808-CD51E03B3957}" name="CustomerID"/>
    <tableColumn id="4" xr3:uid="{6EE75E5A-4ED8-4BFB-84F6-7AEE91012917}" name="Product"/>
    <tableColumn id="5" xr3:uid="{ABD6CAFD-8C1C-44DB-8C18-040FA0FCCB07}" name="Quantity"/>
    <tableColumn id="6" xr3:uid="{DCE689F4-0B44-4B74-BD5E-AC72A20E3108}" name="UnitPrice" dataDxfId="0"/>
    <tableColumn id="7" xr3:uid="{6F3E549C-F936-4C5C-AC6D-F4EB3E26C5CA}" name="ShippingAddress"/>
    <tableColumn id="8" xr3:uid="{2ED95E45-A4DF-403D-AD90-4E99F838104E}" name="PaymentMethod"/>
    <tableColumn id="9" xr3:uid="{B1E80C03-D27B-465C-B487-B0D6D5679B34}" name="OrderStatus"/>
    <tableColumn id="10" xr3:uid="{02368C74-4839-447F-9382-2CAC3B85EBF2}" name="TrackingNumber"/>
    <tableColumn id="11" xr3:uid="{792B75E5-5205-4374-8B71-8A86BA54A3F3}" name="ItemsInCart"/>
    <tableColumn id="12" xr3:uid="{62F9EB18-D29B-4415-81EC-D9BF20EAFAA5}" name="CouponCode"/>
    <tableColumn id="13" xr3:uid="{C11FF32B-A9C6-42FD-84F7-17229CE6A98F}" name="ReferralSource"/>
    <tableColumn id="14" xr3:uid="{0EA412A3-9F4C-4E30-92C0-A97B39D47D55}" name="TotalPrice" dataDxfId="1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F7" sqref="F7"/>
    </sheetView>
  </sheetViews>
  <sheetFormatPr defaultRowHeight="15" x14ac:dyDescent="0.25"/>
  <cols>
    <col min="1" max="1" width="10.7109375" customWidth="1"/>
    <col min="2" max="2" width="10.28515625" style="1" customWidth="1"/>
    <col min="3" max="3" width="11.85546875" customWidth="1"/>
    <col min="4" max="4" width="9.140625" customWidth="1"/>
    <col min="5" max="5" width="9.7109375" customWidth="1"/>
    <col min="6" max="6" width="10.28515625" style="5" customWidth="1"/>
    <col min="7" max="7" width="17.140625" customWidth="1"/>
    <col min="8" max="8" width="17.28515625" customWidth="1"/>
    <col min="9" max="9" width="12" customWidth="1"/>
    <col min="10" max="10" width="16.85546875" customWidth="1"/>
    <col min="11" max="11" width="11" customWidth="1"/>
    <col min="12" max="12" width="13.5703125" customWidth="1"/>
    <col min="13" max="13" width="15.5703125" customWidth="1"/>
    <col min="14" max="14" width="11.140625" style="5" customWidth="1"/>
  </cols>
  <sheetData>
    <row r="1" spans="1:14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1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13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1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1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1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13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1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13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1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13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1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13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1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13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1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13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1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13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1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13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1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13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1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13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1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13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1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13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1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13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1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13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1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13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1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13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1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13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1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13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1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1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1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13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1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13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1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13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1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13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1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13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1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13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1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13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1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13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1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13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1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1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1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13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1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13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1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13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1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13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1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13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1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13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1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13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1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13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1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13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1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1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1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13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1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13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1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13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1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13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1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13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1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13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1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13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1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13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1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13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1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1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1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13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1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13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1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13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1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13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1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13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1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13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1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13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1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13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1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13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1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1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1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13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1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13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1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13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1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13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1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13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1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13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1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13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1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13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1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13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1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1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1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13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1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13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1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13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1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13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1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13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1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13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1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13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1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13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1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13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1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1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1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13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1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13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1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13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1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13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1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13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1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13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1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13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1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13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1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13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1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1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1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13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1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13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1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13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1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13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1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13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1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13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1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13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1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13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1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13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1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1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1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13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1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13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1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13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1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13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1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13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1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13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1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13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1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13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1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13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1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13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1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13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1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13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1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13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1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13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1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13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1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13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1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13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1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13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1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1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1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13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1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13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1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13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1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13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1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13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1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13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1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13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1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13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1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13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1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1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1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13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1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13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1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13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1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13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1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13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1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13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1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13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1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13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1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13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1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1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1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13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1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13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1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13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1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13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1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13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1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13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1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13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1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13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1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13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1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1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1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13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1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13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1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13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1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13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1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13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1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13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1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13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1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13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1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13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1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1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1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13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1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13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1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13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1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13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1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13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1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13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1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13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1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13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1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13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1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1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1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13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1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13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1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13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1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13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1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13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1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13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1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13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1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13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1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13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1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1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1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13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1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13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1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13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1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13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1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13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1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13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1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13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1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13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1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13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1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1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1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13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1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13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1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13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1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13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1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13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1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13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1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13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1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13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1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13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1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1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1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13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1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13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1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13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1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13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1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13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1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13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1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13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1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13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1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13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1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13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1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13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1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13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1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13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1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13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1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13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1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13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1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13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1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13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1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1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1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13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1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13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1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13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1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13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1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13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1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13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1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13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1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13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1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13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1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1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1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13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1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13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1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13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1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13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1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13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1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13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1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13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1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13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1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13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1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1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1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13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1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13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1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13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1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13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1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13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1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13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1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13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1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13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1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13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1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1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1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13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1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13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1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13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1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13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1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13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1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13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1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13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1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13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1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13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1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1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1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13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1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13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1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13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1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13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1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13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1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13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1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13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1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13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1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13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1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1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1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13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1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13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1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13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1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13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1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13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1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13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1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13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1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13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1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13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1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1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1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13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1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13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1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13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1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13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1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13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1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13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1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13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1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13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1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13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1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1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1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13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1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13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1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13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1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13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1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13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1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13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1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13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1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13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1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13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1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1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1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13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1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13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1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13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1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13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1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13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1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13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1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13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1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13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1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13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1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13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1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13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1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13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1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13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1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13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1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13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1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13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1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13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1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13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1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1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1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13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1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13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1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13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1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13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1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13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1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13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1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13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1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13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1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13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1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1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1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13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1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13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1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13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1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13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1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13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1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13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1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13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1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13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1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13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1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1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1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13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1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13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1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13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1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13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1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13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1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13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1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13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1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13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1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13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1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1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1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13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1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13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1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13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1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13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1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13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1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13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1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13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1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13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1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13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1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1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1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13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1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13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1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13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1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13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1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13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1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13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1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13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1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13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1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13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1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1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1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13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1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13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1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13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1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13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1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13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1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13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1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13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1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13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1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13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1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1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1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13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1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13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1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13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1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13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1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13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1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13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1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13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1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13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1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13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1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1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1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13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1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13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1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13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1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13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1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13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1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13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1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13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1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13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1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13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1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1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1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13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1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13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1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13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1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13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1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13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1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13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1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13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1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13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1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13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1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13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1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13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1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13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1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13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1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13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1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13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1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13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1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13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1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13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1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1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1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13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1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13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1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13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1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13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1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13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1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13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1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13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1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13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1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13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1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1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1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13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1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13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1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13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1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13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1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13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1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13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1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13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1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13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1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13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1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1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1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13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1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13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1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13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1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13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1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13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1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13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1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13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1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13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1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13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1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1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1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13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1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13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1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13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1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13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1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13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1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13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1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13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1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13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1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13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1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1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1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13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1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13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1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13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1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13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1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13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1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13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1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13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1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13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1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13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1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1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1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13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1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13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1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13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1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13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1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13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1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13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1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13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1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13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1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13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1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1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1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13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1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13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1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13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1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13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1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13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1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13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1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13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1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13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1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13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1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1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1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13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1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13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1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13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1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13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1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13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1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13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1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13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1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13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1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13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1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1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1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13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1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13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1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13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1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13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1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13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1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13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1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13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1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13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1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13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1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13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1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13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1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13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1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13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1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13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1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13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1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13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1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13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1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13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1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1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1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13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1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13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1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13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1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13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1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13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1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13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1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13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1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13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1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13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1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1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1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13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1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13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1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13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1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13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1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13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1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13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1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13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1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13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1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13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1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1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1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13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1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13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1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13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1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13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1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13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1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13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1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13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1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13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1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13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1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1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1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13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1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13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1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13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1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13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1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13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1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13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1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13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1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13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1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13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1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1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1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13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1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13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1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13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1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13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1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13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1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13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1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13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1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13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1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13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1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1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1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13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1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13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1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13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1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13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1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13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1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13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1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13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1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13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1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13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1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1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1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13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1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13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1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13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1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13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1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13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1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13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1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13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1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13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1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13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1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1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1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13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1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13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1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13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1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13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1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13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1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13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1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13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1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13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1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13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1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1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1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13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1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13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1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13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1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13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1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13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1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13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1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13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1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13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1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13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1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13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1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13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1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13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1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13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1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13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1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13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1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13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1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13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1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13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1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1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1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13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1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13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1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13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1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13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1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13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1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13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1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13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1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13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1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13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1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1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1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13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1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13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1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13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1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13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1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13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1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13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1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13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1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13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1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13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1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1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1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13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1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13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1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13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1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13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1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13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1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13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1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13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1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13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1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13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1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1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1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13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1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13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1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13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1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13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1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13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1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13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1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13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1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13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1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13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1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1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1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13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1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13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1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13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1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13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1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13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1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13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1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13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1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13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1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13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1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1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1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13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1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13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1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13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1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13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1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13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1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13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1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13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1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13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1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13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1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1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1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13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1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13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1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13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1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13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1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13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1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13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1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13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1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13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1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13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1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1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1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13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1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13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1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13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1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13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1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13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1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13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1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13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1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13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1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13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1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1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1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13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1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13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1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13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1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13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1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13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1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13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1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13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1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13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1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13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1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13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1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13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1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13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1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13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1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13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1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13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1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13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1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13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1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13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1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1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1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13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1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13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1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13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1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13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1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13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1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13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1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13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1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13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1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13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1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1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1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13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1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13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1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13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1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13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1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13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1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13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1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13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1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13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1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13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1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1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1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13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1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13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1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13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1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13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1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13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1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13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1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13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1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13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1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13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1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1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1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13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1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13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1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13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1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13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1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13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1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13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1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13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1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13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1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13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1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1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1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13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1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13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1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13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1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13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1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13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1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13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1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13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1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13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1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13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1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1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1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13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1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13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1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13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1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13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1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13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1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13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1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13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1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13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1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13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1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1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1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13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1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13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1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13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1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13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1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13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1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13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1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13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1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13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1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13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1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1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1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13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1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13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1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13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1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13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1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13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1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13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1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13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1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13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1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13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1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1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1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13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1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13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1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13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1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13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1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13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1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13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1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13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1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13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1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13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1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13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1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13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1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13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1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13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1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13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1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13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1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13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1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13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1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13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1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1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1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13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1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13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1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13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1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13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1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13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1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13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1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13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1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13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1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13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1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1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1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13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1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13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1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13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1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13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1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13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1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13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1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13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1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13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1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13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1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1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1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13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1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13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1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13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1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13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1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13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1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13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1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13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1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13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1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13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1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1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1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13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1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13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1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13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1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13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1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13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1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13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1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13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1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13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1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13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1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1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1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13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1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13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1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13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1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13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1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13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1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13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1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13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1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13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1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13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1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1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1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13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1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13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1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13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1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13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1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13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1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13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1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13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1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13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1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13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1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1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1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13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1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13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1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13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1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13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1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13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1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13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1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13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1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13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1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13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1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1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1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13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1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13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1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13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1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13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1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13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1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13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1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13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1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13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1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13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1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1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1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13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1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13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1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13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1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13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1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13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1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13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1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13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1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13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1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13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1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13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1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13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1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13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1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13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1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13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1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13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1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13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1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13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1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13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1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1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1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13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1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13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1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13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1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13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1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13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1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13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1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13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1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13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1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13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1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1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1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13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1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13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1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13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1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13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1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13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1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13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1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13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1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13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1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13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1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1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1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13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1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13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1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13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1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13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1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13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1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13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1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13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1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13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1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13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1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1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1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13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1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13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1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13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1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13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1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13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1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13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1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13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1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13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1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13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1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1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1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13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1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13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1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13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1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13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1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13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1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13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1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13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1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13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1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13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1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1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1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13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1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13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1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13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1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13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1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13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1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13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1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13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1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13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1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13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1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1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1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13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1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13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1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13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1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13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1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13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1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13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1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13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1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13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1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13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1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1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1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13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1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13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1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13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1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13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1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13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1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13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1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13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1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13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1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13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1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1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1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13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1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13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1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13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1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13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1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13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1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13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1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13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1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13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1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13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1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13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1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13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1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13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1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13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1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13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1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13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1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13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1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13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1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13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1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1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1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13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1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13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1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13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1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13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1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13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1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13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1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13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1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13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1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13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1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1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1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13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1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13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1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13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1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13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1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13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1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13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1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13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1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13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1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13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1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1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1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13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1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13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1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13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1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13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1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13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1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13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1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13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1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13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1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13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1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1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1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13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1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13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1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13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1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13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1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13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1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13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1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13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1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13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1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13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1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1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1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13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1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13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1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13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1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13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1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13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1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13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1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13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1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13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1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13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1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1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1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13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1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13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1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13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1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13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1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13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1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13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1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13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1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13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1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13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1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1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1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13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1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13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1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13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1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13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1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13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1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13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1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13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1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13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1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13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1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1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1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13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1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13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1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13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1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13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1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13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1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13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1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13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1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13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1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13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1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1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1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13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1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13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1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13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1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13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1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13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1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13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1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13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1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13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1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13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1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13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1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13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1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13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1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13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1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13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1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13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1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13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1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13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1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13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1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1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1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13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1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13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1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13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1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13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1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13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1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13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1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13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1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13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1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13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1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1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1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13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1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13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1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13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1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13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1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13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1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13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1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13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1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13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1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13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1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1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1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13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1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13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1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13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1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13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1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13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1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13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1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13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1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13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1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13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1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1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1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13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1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13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1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13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1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13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1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13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1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13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1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13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1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13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1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13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1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1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1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13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1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13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1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13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1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13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1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13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1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13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1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13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1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13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1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13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1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1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1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13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1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13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1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13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1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13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1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13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1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13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1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13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1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13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1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13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1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1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1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13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1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13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1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13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1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13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1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13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1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13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1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13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1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13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1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13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1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1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1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13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1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13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1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13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1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13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1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13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1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13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1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13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1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1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6DF7-CA0B-4CF9-9CF2-B73B1A6F407A}">
  <dimension ref="A1:K16"/>
  <sheetViews>
    <sheetView workbookViewId="0">
      <selection activeCell="D20" sqref="D20"/>
    </sheetView>
  </sheetViews>
  <sheetFormatPr defaultRowHeight="15" x14ac:dyDescent="0.25"/>
  <cols>
    <col min="1" max="1" width="14.85546875" customWidth="1"/>
    <col min="2" max="2" width="12" customWidth="1"/>
    <col min="4" max="4" width="14" customWidth="1"/>
    <col min="5" max="5" width="12.140625" customWidth="1"/>
    <col min="7" max="7" width="13.85546875" customWidth="1"/>
    <col min="8" max="8" width="10.5703125" bestFit="1" customWidth="1"/>
    <col min="10" max="10" width="12.7109375" customWidth="1"/>
    <col min="11" max="11" width="10.5703125" customWidth="1"/>
  </cols>
  <sheetData>
    <row r="1" spans="1:11" ht="15.75" x14ac:dyDescent="0.25">
      <c r="A1" s="16" t="s">
        <v>13</v>
      </c>
      <c r="B1" s="16"/>
      <c r="D1" s="23" t="s">
        <v>5</v>
      </c>
      <c r="E1" s="23"/>
      <c r="G1" s="24" t="s">
        <v>4</v>
      </c>
      <c r="H1" s="24"/>
      <c r="J1" s="29" t="s">
        <v>10</v>
      </c>
      <c r="K1" s="29"/>
    </row>
    <row r="2" spans="1:11" x14ac:dyDescent="0.25">
      <c r="A2" s="14"/>
      <c r="B2" s="14"/>
      <c r="D2" s="19"/>
      <c r="E2" s="19"/>
      <c r="G2" s="25"/>
      <c r="H2" s="25"/>
      <c r="J2" s="30"/>
      <c r="K2" s="30"/>
    </row>
    <row r="3" spans="1:11" x14ac:dyDescent="0.25">
      <c r="A3" s="14" t="s">
        <v>4284</v>
      </c>
      <c r="B3" s="17">
        <v>1053.9683</v>
      </c>
      <c r="D3" s="19" t="s">
        <v>4284</v>
      </c>
      <c r="E3" s="20">
        <v>356.41275000000007</v>
      </c>
      <c r="G3" s="25" t="s">
        <v>4284</v>
      </c>
      <c r="H3" s="26">
        <v>2.9458333333333333</v>
      </c>
      <c r="J3" s="30" t="s">
        <v>4284</v>
      </c>
      <c r="K3" s="31">
        <v>5.4850000000000003</v>
      </c>
    </row>
    <row r="4" spans="1:11" x14ac:dyDescent="0.25">
      <c r="A4" s="14" t="s">
        <v>4315</v>
      </c>
      <c r="B4" s="17">
        <v>23.667220233435412</v>
      </c>
      <c r="D4" s="19" t="s">
        <v>4315</v>
      </c>
      <c r="E4" s="20">
        <v>5.6920139280345943</v>
      </c>
      <c r="G4" s="25" t="s">
        <v>4315</v>
      </c>
      <c r="H4" s="26">
        <v>4.0632673494548861E-2</v>
      </c>
      <c r="J4" s="30" t="s">
        <v>4315</v>
      </c>
      <c r="K4" s="31">
        <v>6.5875184207381227E-2</v>
      </c>
    </row>
    <row r="5" spans="1:11" x14ac:dyDescent="0.25">
      <c r="A5" s="14" t="s">
        <v>4285</v>
      </c>
      <c r="B5" s="17">
        <v>823.61500000000001</v>
      </c>
      <c r="D5" s="19" t="s">
        <v>4285</v>
      </c>
      <c r="E5" s="20">
        <v>364.21</v>
      </c>
      <c r="G5" s="25" t="s">
        <v>4285</v>
      </c>
      <c r="H5" s="26">
        <v>3</v>
      </c>
      <c r="J5" s="30" t="s">
        <v>4285</v>
      </c>
      <c r="K5" s="31">
        <v>5</v>
      </c>
    </row>
    <row r="6" spans="1:11" x14ac:dyDescent="0.25">
      <c r="A6" s="14" t="s">
        <v>4286</v>
      </c>
      <c r="B6" s="17">
        <v>635.90000000000009</v>
      </c>
      <c r="D6" s="19" t="s">
        <v>4286</v>
      </c>
      <c r="E6" s="20">
        <v>127.18</v>
      </c>
      <c r="G6" s="25" t="s">
        <v>4286</v>
      </c>
      <c r="H6" s="26">
        <v>1</v>
      </c>
      <c r="J6" s="30" t="s">
        <v>4286</v>
      </c>
      <c r="K6" s="31">
        <v>5</v>
      </c>
    </row>
    <row r="7" spans="1:11" x14ac:dyDescent="0.25">
      <c r="A7" s="14" t="s">
        <v>4316</v>
      </c>
      <c r="B7" s="17">
        <v>819.85655836464559</v>
      </c>
      <c r="D7" s="19" t="s">
        <v>4316</v>
      </c>
      <c r="E7" s="20">
        <v>197.17714641491236</v>
      </c>
      <c r="G7" s="25" t="s">
        <v>4316</v>
      </c>
      <c r="H7" s="26">
        <v>1.4075570987983175</v>
      </c>
      <c r="J7" s="30" t="s">
        <v>4316</v>
      </c>
      <c r="K7" s="31">
        <v>2.2819833201028645</v>
      </c>
    </row>
    <row r="8" spans="1:11" x14ac:dyDescent="0.25">
      <c r="A8" s="14" t="s">
        <v>4317</v>
      </c>
      <c r="B8" s="17">
        <v>672164.77629352151</v>
      </c>
      <c r="D8" s="19" t="s">
        <v>4317</v>
      </c>
      <c r="E8" s="20">
        <v>38878.827068327788</v>
      </c>
      <c r="G8" s="25" t="s">
        <v>4317</v>
      </c>
      <c r="H8" s="26">
        <v>1.9812169863775364</v>
      </c>
      <c r="J8" s="30" t="s">
        <v>4317</v>
      </c>
      <c r="K8" s="31">
        <v>5.2074478732276921</v>
      </c>
    </row>
    <row r="9" spans="1:11" x14ac:dyDescent="0.25">
      <c r="A9" s="14" t="s">
        <v>4287</v>
      </c>
      <c r="B9" s="17">
        <v>-4.0414717406669798E-2</v>
      </c>
      <c r="D9" s="19" t="s">
        <v>4287</v>
      </c>
      <c r="E9" s="20">
        <v>-1.1910109277585086</v>
      </c>
      <c r="G9" s="25" t="s">
        <v>4287</v>
      </c>
      <c r="H9" s="26">
        <v>-1.2945958869673317</v>
      </c>
      <c r="J9" s="30" t="s">
        <v>4287</v>
      </c>
      <c r="K9" s="31">
        <v>-0.70855206479322774</v>
      </c>
    </row>
    <row r="10" spans="1:11" x14ac:dyDescent="0.25">
      <c r="A10" s="14" t="s">
        <v>4288</v>
      </c>
      <c r="B10" s="17">
        <v>0.89135908268090325</v>
      </c>
      <c r="D10" s="19" t="s">
        <v>4288</v>
      </c>
      <c r="E10" s="20">
        <v>-2.6511641121851885E-2</v>
      </c>
      <c r="G10" s="25" t="s">
        <v>4288</v>
      </c>
      <c r="H10" s="26">
        <v>2.792231401661471E-2</v>
      </c>
      <c r="J10" s="30" t="s">
        <v>4288</v>
      </c>
      <c r="K10" s="31">
        <v>8.767998521410675E-4</v>
      </c>
    </row>
    <row r="11" spans="1:11" x14ac:dyDescent="0.25">
      <c r="A11" s="14" t="s">
        <v>4289</v>
      </c>
      <c r="B11" s="17">
        <v>3445.01</v>
      </c>
      <c r="D11" s="19" t="s">
        <v>4289</v>
      </c>
      <c r="E11" s="20">
        <v>688.54</v>
      </c>
      <c r="G11" s="25" t="s">
        <v>4289</v>
      </c>
      <c r="H11" s="26">
        <v>4</v>
      </c>
      <c r="J11" s="30" t="s">
        <v>4289</v>
      </c>
      <c r="K11" s="31">
        <v>9</v>
      </c>
    </row>
    <row r="12" spans="1:11" x14ac:dyDescent="0.25">
      <c r="A12" s="14" t="s">
        <v>4290</v>
      </c>
      <c r="B12" s="17">
        <v>11.39</v>
      </c>
      <c r="D12" s="19" t="s">
        <v>4290</v>
      </c>
      <c r="E12" s="20">
        <v>11.39</v>
      </c>
      <c r="G12" s="25" t="s">
        <v>4290</v>
      </c>
      <c r="H12" s="26">
        <v>1</v>
      </c>
      <c r="J12" s="30" t="s">
        <v>4290</v>
      </c>
      <c r="K12" s="31">
        <v>1</v>
      </c>
    </row>
    <row r="13" spans="1:11" x14ac:dyDescent="0.25">
      <c r="A13" s="14" t="s">
        <v>4291</v>
      </c>
      <c r="B13" s="17">
        <v>3456.4</v>
      </c>
      <c r="D13" s="19" t="s">
        <v>4291</v>
      </c>
      <c r="E13" s="20">
        <v>699.93</v>
      </c>
      <c r="G13" s="25" t="s">
        <v>4291</v>
      </c>
      <c r="H13" s="26">
        <v>5</v>
      </c>
      <c r="J13" s="30" t="s">
        <v>4291</v>
      </c>
      <c r="K13" s="31">
        <v>10</v>
      </c>
    </row>
    <row r="14" spans="1:11" x14ac:dyDescent="0.25">
      <c r="A14" s="14" t="s">
        <v>4292</v>
      </c>
      <c r="B14" s="17">
        <v>1264761.9600000004</v>
      </c>
      <c r="D14" s="19" t="s">
        <v>4292</v>
      </c>
      <c r="E14" s="20">
        <v>427695.3000000001</v>
      </c>
      <c r="G14" s="25" t="s">
        <v>4292</v>
      </c>
      <c r="H14" s="26">
        <v>3535</v>
      </c>
      <c r="J14" s="30" t="s">
        <v>4292</v>
      </c>
      <c r="K14" s="31">
        <v>6582</v>
      </c>
    </row>
    <row r="15" spans="1:11" ht="15.75" thickBot="1" x14ac:dyDescent="0.3">
      <c r="A15" s="15" t="s">
        <v>4293</v>
      </c>
      <c r="B15" s="18">
        <v>1200</v>
      </c>
      <c r="D15" s="21" t="s">
        <v>4293</v>
      </c>
      <c r="E15" s="22">
        <v>1200</v>
      </c>
      <c r="G15" s="27" t="s">
        <v>4293</v>
      </c>
      <c r="H15" s="28">
        <v>1200</v>
      </c>
      <c r="J15" s="32" t="s">
        <v>4293</v>
      </c>
      <c r="K15" s="33">
        <v>1200</v>
      </c>
    </row>
    <row r="16" spans="1:11" x14ac:dyDescent="0.25">
      <c r="A16" s="14"/>
      <c r="B16" s="14">
        <v>1</v>
      </c>
      <c r="D16" s="19"/>
      <c r="E16" s="19">
        <v>1</v>
      </c>
      <c r="G16" s="25"/>
      <c r="H16" s="25">
        <v>1</v>
      </c>
      <c r="J16" s="30"/>
      <c r="K16" s="30">
        <v>1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3AB5-DC6F-4CB7-81F4-D53AC2574D51}">
  <dimension ref="A1:M8"/>
  <sheetViews>
    <sheetView workbookViewId="0">
      <selection activeCell="F23" sqref="F23"/>
    </sheetView>
  </sheetViews>
  <sheetFormatPr defaultRowHeight="15" x14ac:dyDescent="0.25"/>
  <cols>
    <col min="2" max="2" width="12.5703125" customWidth="1"/>
    <col min="7" max="7" width="12.85546875" customWidth="1"/>
    <col min="8" max="8" width="11" customWidth="1"/>
    <col min="12" max="12" width="12.7109375" customWidth="1"/>
  </cols>
  <sheetData>
    <row r="1" spans="1:13" x14ac:dyDescent="0.25">
      <c r="A1" s="34" t="s">
        <v>4294</v>
      </c>
      <c r="B1" s="34" t="s">
        <v>4295</v>
      </c>
      <c r="C1" s="34" t="s">
        <v>4296</v>
      </c>
      <c r="D1" s="34"/>
      <c r="E1" s="34"/>
      <c r="F1" s="34" t="s">
        <v>4294</v>
      </c>
      <c r="G1" s="34" t="s">
        <v>4295</v>
      </c>
      <c r="H1" s="34" t="s">
        <v>4296</v>
      </c>
      <c r="I1" s="34"/>
      <c r="J1" s="34"/>
      <c r="K1" s="34" t="s">
        <v>4294</v>
      </c>
      <c r="L1" s="34" t="s">
        <v>4295</v>
      </c>
      <c r="M1" s="34" t="s">
        <v>4296</v>
      </c>
    </row>
    <row r="2" spans="1:13" x14ac:dyDescent="0.25">
      <c r="A2" t="s">
        <v>4297</v>
      </c>
      <c r="B2" t="s">
        <v>4298</v>
      </c>
      <c r="C2" t="s">
        <v>13</v>
      </c>
      <c r="F2" t="s">
        <v>4297</v>
      </c>
      <c r="G2" t="s">
        <v>4298</v>
      </c>
      <c r="H2" t="s">
        <v>5</v>
      </c>
      <c r="K2" t="s">
        <v>4297</v>
      </c>
      <c r="L2" t="s">
        <v>4298</v>
      </c>
      <c r="M2" t="s">
        <v>4</v>
      </c>
    </row>
    <row r="3" spans="1:13" x14ac:dyDescent="0.25">
      <c r="A3" t="s">
        <v>4299</v>
      </c>
      <c r="B3" t="s">
        <v>4300</v>
      </c>
      <c r="C3">
        <f>QUARTILE(Working_Data!N:N,1)</f>
        <v>410.52</v>
      </c>
      <c r="F3" t="s">
        <v>4299</v>
      </c>
      <c r="G3" t="s">
        <v>4300</v>
      </c>
      <c r="H3">
        <f>QUARTILE(Working_Data!F:F,1)</f>
        <v>186.0625</v>
      </c>
      <c r="K3" t="s">
        <v>4299</v>
      </c>
      <c r="L3" t="s">
        <v>4300</v>
      </c>
      <c r="M3">
        <f>QUARTILE(Working_Data!E:E,1)</f>
        <v>2</v>
      </c>
    </row>
    <row r="4" spans="1:13" x14ac:dyDescent="0.25">
      <c r="A4" t="s">
        <v>4301</v>
      </c>
      <c r="B4" t="s">
        <v>4302</v>
      </c>
      <c r="C4">
        <f>QUARTILE(Working_Data!N:N,3)</f>
        <v>1578.4749999999999</v>
      </c>
      <c r="F4" t="s">
        <v>4301</v>
      </c>
      <c r="G4" t="s">
        <v>4302</v>
      </c>
      <c r="H4">
        <f>QUARTILE(Working_Data!F:F,3)</f>
        <v>521.56999999999994</v>
      </c>
      <c r="K4" t="s">
        <v>4301</v>
      </c>
      <c r="L4" t="s">
        <v>4302</v>
      </c>
      <c r="M4">
        <f>QUARTILE(Working_Data!E:E,3)</f>
        <v>4</v>
      </c>
    </row>
    <row r="5" spans="1:13" x14ac:dyDescent="0.25">
      <c r="A5" t="s">
        <v>4303</v>
      </c>
      <c r="B5" t="s">
        <v>4304</v>
      </c>
      <c r="C5">
        <f>C4-C3</f>
        <v>1167.9549999999999</v>
      </c>
      <c r="F5" t="s">
        <v>4303</v>
      </c>
      <c r="G5" t="s">
        <v>4304</v>
      </c>
      <c r="H5">
        <f>H4-H3</f>
        <v>335.50749999999994</v>
      </c>
      <c r="K5" t="s">
        <v>4303</v>
      </c>
      <c r="L5" t="s">
        <v>4304</v>
      </c>
      <c r="M5">
        <f>M4-M3</f>
        <v>2</v>
      </c>
    </row>
    <row r="6" spans="1:13" x14ac:dyDescent="0.25">
      <c r="A6" t="s">
        <v>4305</v>
      </c>
      <c r="B6" t="s">
        <v>4306</v>
      </c>
      <c r="C6">
        <f>C3-(1.5*C5)</f>
        <v>-1341.4124999999999</v>
      </c>
      <c r="F6" t="s">
        <v>4305</v>
      </c>
      <c r="G6" t="s">
        <v>4306</v>
      </c>
      <c r="H6">
        <f>H3-(1.5*H5)</f>
        <v>-317.1987499999999</v>
      </c>
      <c r="K6" t="s">
        <v>4305</v>
      </c>
      <c r="L6" t="s">
        <v>4306</v>
      </c>
      <c r="M6">
        <f>M3-(1.5*M5)</f>
        <v>-1</v>
      </c>
    </row>
    <row r="7" spans="1:13" x14ac:dyDescent="0.25">
      <c r="A7" t="s">
        <v>4307</v>
      </c>
      <c r="B7" t="s">
        <v>4308</v>
      </c>
      <c r="C7">
        <f>C4+(1.5*C5)</f>
        <v>3330.4074999999998</v>
      </c>
      <c r="F7" t="s">
        <v>4307</v>
      </c>
      <c r="G7" t="s">
        <v>4308</v>
      </c>
      <c r="H7">
        <f>H4+(1.5*H5)</f>
        <v>1024.8312499999997</v>
      </c>
      <c r="K7" t="s">
        <v>4307</v>
      </c>
      <c r="L7" t="s">
        <v>4308</v>
      </c>
      <c r="M7">
        <f>M4+(1.5*M5)</f>
        <v>7</v>
      </c>
    </row>
    <row r="8" spans="1:13" x14ac:dyDescent="0.25">
      <c r="A8" t="s">
        <v>4309</v>
      </c>
      <c r="B8" t="s">
        <v>4310</v>
      </c>
      <c r="C8">
        <f>COUNTIF(Working_Data!N:N,"&lt;"&amp;C6)+COUNTIF(Working_Data!N:N,"&gt;"&amp;C7)</f>
        <v>8</v>
      </c>
      <c r="F8" t="s">
        <v>4309</v>
      </c>
      <c r="G8" t="s">
        <v>4310</v>
      </c>
      <c r="H8">
        <f>COUNTIF(Working_Data!F:F,"&lt;"&amp;H6)+COUNTIF(Working_Data!F:F,"&gt;"&amp;H7)</f>
        <v>0</v>
      </c>
      <c r="K8" t="s">
        <v>4309</v>
      </c>
      <c r="L8" t="s">
        <v>4310</v>
      </c>
      <c r="M8">
        <f>COUNTIF(Working_Data!E:E,"&lt;"&amp;M6)+COUNTIF(Working_Data!E:E,"&gt;"&amp;M7)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D870-8F1E-429F-ADDF-34C2A9234666}">
  <dimension ref="A1:E5"/>
  <sheetViews>
    <sheetView workbookViewId="0">
      <selection sqref="A1:E5"/>
    </sheetView>
  </sheetViews>
  <sheetFormatPr defaultRowHeight="15" x14ac:dyDescent="0.25"/>
  <sheetData>
    <row r="1" spans="1:5" x14ac:dyDescent="0.25">
      <c r="A1" s="7"/>
      <c r="B1" s="7" t="s">
        <v>4</v>
      </c>
      <c r="C1" s="7" t="s">
        <v>5</v>
      </c>
      <c r="D1" s="7" t="s">
        <v>10</v>
      </c>
      <c r="E1" s="7" t="s">
        <v>13</v>
      </c>
    </row>
    <row r="2" spans="1:5" x14ac:dyDescent="0.25">
      <c r="A2" t="s">
        <v>4</v>
      </c>
      <c r="B2">
        <v>1</v>
      </c>
    </row>
    <row r="3" spans="1:5" x14ac:dyDescent="0.25">
      <c r="A3" t="s">
        <v>5</v>
      </c>
      <c r="B3">
        <v>1.4553341185454998E-2</v>
      </c>
      <c r="C3">
        <v>1</v>
      </c>
    </row>
    <row r="4" spans="1:5" x14ac:dyDescent="0.25">
      <c r="A4" t="s">
        <v>10</v>
      </c>
      <c r="B4">
        <v>0.65006122572385383</v>
      </c>
      <c r="C4">
        <v>6.0215368110683881E-4</v>
      </c>
      <c r="D4">
        <v>1</v>
      </c>
    </row>
    <row r="5" spans="1:5" ht="15.75" thickBot="1" x14ac:dyDescent="0.3">
      <c r="A5" s="6" t="s">
        <v>13</v>
      </c>
      <c r="B5" s="6">
        <v>0.61525136334670683</v>
      </c>
      <c r="C5" s="6">
        <v>0.717081089263781</v>
      </c>
      <c r="D5" s="6">
        <v>0.39254026040686657</v>
      </c>
      <c r="E5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1F77-B020-429E-96AD-45FD82505992}">
  <dimension ref="A2:F19"/>
  <sheetViews>
    <sheetView topLeftCell="G20" zoomScale="120" zoomScaleNormal="120" workbookViewId="0">
      <selection activeCell="S31" sqref="S31"/>
    </sheetView>
  </sheetViews>
  <sheetFormatPr defaultRowHeight="15" x14ac:dyDescent="0.25"/>
  <cols>
    <col min="1" max="1" width="13.140625" bestFit="1" customWidth="1"/>
    <col min="2" max="2" width="20.28515625" customWidth="1"/>
    <col min="3" max="3" width="7.7109375" customWidth="1"/>
    <col min="4" max="4" width="9.140625" customWidth="1"/>
    <col min="5" max="5" width="13.140625" bestFit="1" customWidth="1"/>
    <col min="6" max="6" width="21.42578125" customWidth="1"/>
    <col min="7" max="7" width="10.28515625" customWidth="1"/>
    <col min="8" max="8" width="10.85546875" customWidth="1"/>
  </cols>
  <sheetData>
    <row r="2" spans="1:6" x14ac:dyDescent="0.25">
      <c r="A2" s="8" t="s">
        <v>4311</v>
      </c>
      <c r="B2" t="s">
        <v>4313</v>
      </c>
      <c r="E2" s="8" t="s">
        <v>4311</v>
      </c>
      <c r="F2" t="s">
        <v>4313</v>
      </c>
    </row>
    <row r="3" spans="1:6" x14ac:dyDescent="0.25">
      <c r="A3" s="9" t="s">
        <v>2406</v>
      </c>
      <c r="B3">
        <v>178</v>
      </c>
      <c r="E3" s="9" t="s">
        <v>3071</v>
      </c>
      <c r="F3">
        <v>250</v>
      </c>
    </row>
    <row r="4" spans="1:6" x14ac:dyDescent="0.25">
      <c r="A4" s="9" t="s">
        <v>2409</v>
      </c>
      <c r="B4">
        <v>170</v>
      </c>
      <c r="E4" s="9" t="s">
        <v>3073</v>
      </c>
      <c r="F4">
        <v>231</v>
      </c>
    </row>
    <row r="5" spans="1:6" x14ac:dyDescent="0.25">
      <c r="A5" s="9" t="s">
        <v>2408</v>
      </c>
      <c r="B5">
        <v>173</v>
      </c>
      <c r="E5" s="9" t="s">
        <v>3074</v>
      </c>
      <c r="F5">
        <v>237</v>
      </c>
    </row>
    <row r="6" spans="1:6" x14ac:dyDescent="0.25">
      <c r="A6" s="9" t="s">
        <v>2403</v>
      </c>
      <c r="B6">
        <v>163</v>
      </c>
      <c r="E6" s="9" t="s">
        <v>3072</v>
      </c>
      <c r="F6">
        <v>247</v>
      </c>
    </row>
    <row r="7" spans="1:6" x14ac:dyDescent="0.25">
      <c r="A7" s="9" t="s">
        <v>2404</v>
      </c>
      <c r="B7">
        <v>156</v>
      </c>
      <c r="E7" s="9" t="s">
        <v>3070</v>
      </c>
      <c r="F7">
        <v>235</v>
      </c>
    </row>
    <row r="8" spans="1:6" x14ac:dyDescent="0.25">
      <c r="A8" s="9" t="s">
        <v>2407</v>
      </c>
      <c r="B8">
        <v>181</v>
      </c>
      <c r="E8" s="9" t="s">
        <v>4312</v>
      </c>
      <c r="F8">
        <v>1200</v>
      </c>
    </row>
    <row r="9" spans="1:6" x14ac:dyDescent="0.25">
      <c r="A9" s="9" t="s">
        <v>2405</v>
      </c>
      <c r="B9">
        <v>179</v>
      </c>
    </row>
    <row r="10" spans="1:6" x14ac:dyDescent="0.25">
      <c r="A10" s="9" t="s">
        <v>4312</v>
      </c>
      <c r="B10">
        <v>1200</v>
      </c>
    </row>
    <row r="13" spans="1:6" x14ac:dyDescent="0.25">
      <c r="A13" s="8" t="s">
        <v>4311</v>
      </c>
      <c r="B13" t="s">
        <v>4313</v>
      </c>
      <c r="E13" s="8" t="s">
        <v>4311</v>
      </c>
      <c r="F13" t="s">
        <v>4314</v>
      </c>
    </row>
    <row r="14" spans="1:6" x14ac:dyDescent="0.25">
      <c r="A14" s="9" t="s">
        <v>3069</v>
      </c>
      <c r="B14">
        <v>246</v>
      </c>
      <c r="E14" s="9" t="s">
        <v>4280</v>
      </c>
      <c r="F14" s="5">
        <v>261808.55000000002</v>
      </c>
    </row>
    <row r="15" spans="1:6" x14ac:dyDescent="0.25">
      <c r="A15" s="9" t="s">
        <v>3067</v>
      </c>
      <c r="B15">
        <v>234</v>
      </c>
      <c r="E15" s="9" t="s">
        <v>4281</v>
      </c>
      <c r="F15" s="5">
        <v>250410.9</v>
      </c>
    </row>
    <row r="16" spans="1:6" x14ac:dyDescent="0.25">
      <c r="A16" s="9" t="s">
        <v>3065</v>
      </c>
      <c r="B16">
        <v>232</v>
      </c>
      <c r="E16" s="9" t="s">
        <v>4282</v>
      </c>
      <c r="F16" s="5">
        <v>250441.47999999998</v>
      </c>
    </row>
    <row r="17" spans="1:6" x14ac:dyDescent="0.25">
      <c r="A17" s="9" t="s">
        <v>3068</v>
      </c>
      <c r="B17">
        <v>230</v>
      </c>
      <c r="E17" s="9" t="s">
        <v>4278</v>
      </c>
      <c r="F17" s="5">
        <v>275285.45000000007</v>
      </c>
    </row>
    <row r="18" spans="1:6" x14ac:dyDescent="0.25">
      <c r="A18" s="9" t="s">
        <v>3066</v>
      </c>
      <c r="B18">
        <v>258</v>
      </c>
      <c r="E18" s="9" t="s">
        <v>4279</v>
      </c>
      <c r="F18" s="5">
        <v>226815.5799999999</v>
      </c>
    </row>
    <row r="19" spans="1:6" x14ac:dyDescent="0.25">
      <c r="A19" s="9" t="s">
        <v>4312</v>
      </c>
      <c r="B19">
        <v>1200</v>
      </c>
      <c r="E19" s="9" t="s">
        <v>4312</v>
      </c>
      <c r="F19" s="5">
        <v>1264761.96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A8C5-C35B-4C6A-BEA7-FA403BAD3FEF}">
  <dimension ref="A1:N1201"/>
  <sheetViews>
    <sheetView tabSelected="1" workbookViewId="0">
      <selection activeCell="H18" sqref="H18"/>
    </sheetView>
  </sheetViews>
  <sheetFormatPr defaultRowHeight="15" x14ac:dyDescent="0.25"/>
  <cols>
    <col min="1" max="1" width="11.28515625" customWidth="1"/>
    <col min="2" max="2" width="11.42578125" customWidth="1"/>
    <col min="3" max="3" width="11.28515625" customWidth="1"/>
    <col min="7" max="7" width="12" customWidth="1"/>
    <col min="8" max="8" width="11.140625" customWidth="1"/>
    <col min="9" max="9" width="10.140625" customWidth="1"/>
    <col min="10" max="10" width="13.140625" customWidth="1"/>
    <col min="12" max="13" width="10.7109375" customWidth="1"/>
  </cols>
  <sheetData>
    <row r="1" spans="1:14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Clean_data</vt:lpstr>
      <vt:lpstr>Descriptive_Stat</vt:lpstr>
      <vt:lpstr>Outliner_check</vt:lpstr>
      <vt:lpstr>Correlation</vt:lpstr>
      <vt:lpstr>Pivot</vt:lpstr>
      <vt:lpstr>Working_Data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Omowumi Akinlosotu</cp:lastModifiedBy>
  <dcterms:created xsi:type="dcterms:W3CDTF">2025-06-21T13:19:12Z</dcterms:created>
  <dcterms:modified xsi:type="dcterms:W3CDTF">2026-06-22T14:00:28Z</dcterms:modified>
</cp:coreProperties>
</file>